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it\Desktop\"/>
    </mc:Choice>
  </mc:AlternateContent>
  <xr:revisionPtr revIDLastSave="0" documentId="13_ncr:1_{CF39AB6E-3C66-415D-A78E-C343EB7B49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List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0" i="1" l="1"/>
  <c r="H180" i="1" s="1"/>
  <c r="G181" i="1"/>
  <c r="H181" i="1" s="1"/>
  <c r="G175" i="1"/>
  <c r="H175" i="1" s="1"/>
  <c r="G126" i="1"/>
  <c r="H126" i="1" s="1"/>
  <c r="G127" i="1"/>
  <c r="H127" i="1" s="1"/>
  <c r="G184" i="1" l="1"/>
  <c r="H184" i="1" s="1"/>
  <c r="G185" i="1"/>
  <c r="H185" i="1" s="1"/>
  <c r="G186" i="1"/>
  <c r="H186" i="1" s="1"/>
  <c r="G174" i="1"/>
  <c r="H174" i="1" s="1"/>
  <c r="G35" i="1"/>
  <c r="H35" i="1" s="1"/>
  <c r="G38" i="1"/>
  <c r="H38" i="1" s="1"/>
  <c r="G176" i="1"/>
  <c r="H176" i="1" s="1"/>
  <c r="G124" i="1"/>
  <c r="H124" i="1" s="1"/>
  <c r="G43" i="1"/>
  <c r="H43" i="1" s="1"/>
  <c r="G48" i="1"/>
  <c r="H48" i="1" s="1"/>
  <c r="G114" i="1"/>
  <c r="H114" i="1" s="1"/>
  <c r="G67" i="1"/>
  <c r="H67" i="1" s="1"/>
  <c r="G59" i="1"/>
  <c r="H59" i="1" s="1"/>
  <c r="G30" i="1"/>
  <c r="H30" i="1" s="1"/>
  <c r="G147" i="1"/>
  <c r="H147" i="1" s="1"/>
  <c r="G179" i="1"/>
  <c r="H179" i="1" s="1"/>
  <c r="G154" i="1"/>
  <c r="H154" i="1" s="1"/>
  <c r="G42" i="1"/>
  <c r="H42" i="1" s="1"/>
  <c r="G104" i="1"/>
  <c r="H104" i="1" s="1"/>
  <c r="G121" i="1"/>
  <c r="H121" i="1" s="1"/>
  <c r="G85" i="1"/>
  <c r="H85" i="1" s="1"/>
  <c r="G12" i="1"/>
  <c r="H12" i="1" s="1"/>
  <c r="G112" i="1"/>
  <c r="H112" i="1" s="1"/>
  <c r="G61" i="1"/>
  <c r="H61" i="1" s="1"/>
  <c r="G62" i="1"/>
  <c r="H62" i="1" s="1"/>
  <c r="G13" i="1"/>
  <c r="H13" i="1" s="1"/>
  <c r="G46" i="1"/>
  <c r="H46" i="1" s="1"/>
  <c r="G152" i="1"/>
  <c r="H152" i="1" s="1"/>
  <c r="G47" i="1"/>
  <c r="H47" i="1" s="1"/>
  <c r="G183" i="1" l="1"/>
  <c r="H183" i="1" s="1"/>
  <c r="G182" i="1"/>
  <c r="H182" i="1" s="1"/>
  <c r="G178" i="1"/>
  <c r="H178" i="1" s="1"/>
  <c r="G177" i="1"/>
  <c r="H177" i="1" s="1"/>
  <c r="G148" i="1"/>
  <c r="H148" i="1" s="1"/>
  <c r="G111" i="1"/>
  <c r="H111" i="1" s="1"/>
  <c r="G172" i="1" l="1"/>
  <c r="H172" i="1" s="1"/>
  <c r="G167" i="1"/>
  <c r="H167" i="1" s="1"/>
  <c r="G164" i="1"/>
  <c r="H164" i="1" s="1"/>
  <c r="G163" i="1"/>
  <c r="H163" i="1" s="1"/>
  <c r="G160" i="1"/>
  <c r="H160" i="1" s="1"/>
  <c r="G159" i="1"/>
  <c r="H159" i="1" s="1"/>
  <c r="G117" i="1"/>
  <c r="H117" i="1" s="1"/>
  <c r="G158" i="1"/>
  <c r="H158" i="1" s="1"/>
  <c r="G156" i="1"/>
  <c r="H156" i="1" s="1"/>
  <c r="G150" i="1"/>
  <c r="H150" i="1" s="1"/>
  <c r="G138" i="1"/>
  <c r="H138" i="1" s="1"/>
  <c r="G137" i="1"/>
  <c r="H137" i="1" s="1"/>
  <c r="G145" i="1"/>
  <c r="H145" i="1" s="1"/>
  <c r="G141" i="1"/>
  <c r="H141" i="1" s="1"/>
  <c r="G123" i="1"/>
  <c r="H123" i="1" s="1"/>
  <c r="G115" i="1"/>
  <c r="H115" i="1" s="1"/>
  <c r="G113" i="1"/>
  <c r="H113" i="1" s="1"/>
  <c r="G106" i="1"/>
  <c r="H106" i="1" s="1"/>
  <c r="G99" i="1"/>
  <c r="H99" i="1" s="1"/>
  <c r="G108" i="1"/>
  <c r="H108" i="1" s="1"/>
  <c r="G101" i="1"/>
  <c r="H101" i="1" s="1"/>
  <c r="G103" i="1"/>
  <c r="H103" i="1" s="1"/>
  <c r="G102" i="1"/>
  <c r="H102" i="1" s="1"/>
  <c r="G90" i="1"/>
  <c r="H90" i="1" s="1"/>
  <c r="G78" i="1"/>
  <c r="H78" i="1" s="1"/>
  <c r="G69" i="1"/>
  <c r="H69" i="1" s="1"/>
  <c r="G68" i="1"/>
  <c r="H68" i="1" s="1"/>
  <c r="G73" i="1"/>
  <c r="H73" i="1" s="1"/>
  <c r="G105" i="1"/>
  <c r="H105" i="1" s="1"/>
  <c r="G100" i="1"/>
  <c r="H100" i="1" s="1"/>
  <c r="G95" i="1"/>
  <c r="H95" i="1" s="1"/>
  <c r="G93" i="1"/>
  <c r="H93" i="1" s="1"/>
  <c r="G94" i="1"/>
  <c r="H94" i="1" s="1"/>
  <c r="G89" i="1"/>
  <c r="H89" i="1" s="1"/>
  <c r="G80" i="1"/>
  <c r="H80" i="1" s="1"/>
  <c r="G82" i="1"/>
  <c r="H82" i="1" s="1"/>
  <c r="G83" i="1"/>
  <c r="H83" i="1" s="1"/>
  <c r="G75" i="1"/>
  <c r="H75" i="1" s="1"/>
  <c r="G74" i="1"/>
  <c r="H74" i="1" s="1"/>
  <c r="G58" i="1"/>
  <c r="H58" i="1" s="1"/>
  <c r="G54" i="1"/>
  <c r="H54" i="1" s="1"/>
  <c r="G53" i="1"/>
  <c r="H53" i="1" s="1"/>
  <c r="G52" i="1"/>
  <c r="H52" i="1" s="1"/>
  <c r="G50" i="1"/>
  <c r="H50" i="1" s="1"/>
  <c r="G49" i="1"/>
  <c r="H49" i="1" s="1"/>
  <c r="G34" i="1"/>
  <c r="H34" i="1" s="1"/>
  <c r="G25" i="1"/>
  <c r="H25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G173" i="1"/>
  <c r="H173" i="1" s="1"/>
  <c r="G15" i="1"/>
  <c r="H15" i="1" s="1"/>
  <c r="G169" i="1"/>
  <c r="H169" i="1" s="1"/>
  <c r="G168" i="1"/>
  <c r="H168" i="1" s="1"/>
  <c r="G171" i="1"/>
  <c r="H171" i="1" s="1"/>
  <c r="G170" i="1"/>
  <c r="H170" i="1" s="1"/>
  <c r="G155" i="1"/>
  <c r="H155" i="1" s="1"/>
  <c r="G157" i="1"/>
  <c r="H157" i="1" s="1"/>
  <c r="G166" i="1"/>
  <c r="H166" i="1" s="1"/>
  <c r="G161" i="1"/>
  <c r="H161" i="1" s="1"/>
  <c r="G165" i="1"/>
  <c r="H165" i="1" s="1"/>
  <c r="G162" i="1"/>
  <c r="H162" i="1" s="1"/>
  <c r="G153" i="1"/>
  <c r="H153" i="1" s="1"/>
  <c r="G151" i="1"/>
  <c r="H151" i="1" s="1"/>
  <c r="G110" i="1"/>
  <c r="H110" i="1" s="1"/>
  <c r="G109" i="1"/>
  <c r="H109" i="1" s="1"/>
  <c r="G107" i="1"/>
  <c r="H107" i="1" s="1"/>
  <c r="G144" i="1"/>
  <c r="H144" i="1" s="1"/>
  <c r="G143" i="1"/>
  <c r="H143" i="1" s="1"/>
  <c r="G149" i="1"/>
  <c r="H149" i="1" s="1"/>
  <c r="G146" i="1"/>
  <c r="H146" i="1" s="1"/>
  <c r="G135" i="1"/>
  <c r="H135" i="1" s="1"/>
  <c r="G140" i="1"/>
  <c r="H140" i="1" s="1"/>
  <c r="G142" i="1"/>
  <c r="H142" i="1" s="1"/>
  <c r="G139" i="1"/>
  <c r="G136" i="1"/>
  <c r="H136" i="1" s="1"/>
  <c r="G122" i="1"/>
  <c r="H122" i="1" s="1"/>
  <c r="G131" i="1"/>
  <c r="H131" i="1" s="1"/>
  <c r="G128" i="1"/>
  <c r="H128" i="1" s="1"/>
  <c r="G129" i="1"/>
  <c r="H129" i="1" s="1"/>
  <c r="G130" i="1"/>
  <c r="H130" i="1" s="1"/>
  <c r="G120" i="1"/>
  <c r="H120" i="1" s="1"/>
  <c r="G119" i="1"/>
  <c r="H119" i="1" s="1"/>
  <c r="G118" i="1"/>
  <c r="H118" i="1" s="1"/>
  <c r="G125" i="1"/>
  <c r="H125" i="1" s="1"/>
  <c r="G134" i="1"/>
  <c r="H134" i="1" s="1"/>
  <c r="G133" i="1"/>
  <c r="H133" i="1" s="1"/>
  <c r="G132" i="1"/>
  <c r="H132" i="1" s="1"/>
  <c r="G116" i="1"/>
  <c r="H116" i="1" s="1"/>
  <c r="G98" i="1"/>
  <c r="H98" i="1" s="1"/>
  <c r="G97" i="1"/>
  <c r="H97" i="1" s="1"/>
  <c r="G96" i="1"/>
  <c r="H96" i="1" s="1"/>
  <c r="G92" i="1"/>
  <c r="H92" i="1" s="1"/>
  <c r="G91" i="1"/>
  <c r="H91" i="1" s="1"/>
  <c r="G88" i="1"/>
  <c r="H88" i="1" s="1"/>
  <c r="G87" i="1"/>
  <c r="H87" i="1" s="1"/>
  <c r="G86" i="1"/>
  <c r="H86" i="1" s="1"/>
  <c r="G84" i="1"/>
  <c r="H84" i="1" s="1"/>
  <c r="G81" i="1"/>
  <c r="H81" i="1" s="1"/>
  <c r="G79" i="1"/>
  <c r="H79" i="1" s="1"/>
  <c r="G77" i="1"/>
  <c r="H77" i="1" s="1"/>
  <c r="G76" i="1"/>
  <c r="H76" i="1" s="1"/>
  <c r="G63" i="1"/>
  <c r="H63" i="1" s="1"/>
  <c r="G72" i="1"/>
  <c r="H72" i="1" s="1"/>
  <c r="G71" i="1"/>
  <c r="H71" i="1" s="1"/>
  <c r="G70" i="1"/>
  <c r="H70" i="1" s="1"/>
  <c r="G65" i="1"/>
  <c r="H65" i="1" s="1"/>
  <c r="G64" i="1"/>
  <c r="H64" i="1" s="1"/>
  <c r="G60" i="1"/>
  <c r="H60" i="1" s="1"/>
  <c r="G57" i="1"/>
  <c r="H57" i="1" s="1"/>
  <c r="G56" i="1"/>
  <c r="H56" i="1" s="1"/>
  <c r="G55" i="1"/>
  <c r="H55" i="1" s="1"/>
  <c r="G51" i="1"/>
  <c r="H51" i="1" s="1"/>
  <c r="G27" i="1"/>
  <c r="H27" i="1" s="1"/>
  <c r="G41" i="1"/>
  <c r="H41" i="1" s="1"/>
  <c r="G45" i="1"/>
  <c r="H45" i="1" s="1"/>
  <c r="G40" i="1"/>
  <c r="H40" i="1" s="1"/>
  <c r="G39" i="1"/>
  <c r="H39" i="1" s="1"/>
  <c r="G37" i="1"/>
  <c r="H37" i="1" s="1"/>
  <c r="G36" i="1"/>
  <c r="H36" i="1" s="1"/>
  <c r="G33" i="1"/>
  <c r="H33" i="1" s="1"/>
  <c r="G32" i="1"/>
  <c r="H32" i="1" s="1"/>
  <c r="G31" i="1"/>
  <c r="H31" i="1" s="1"/>
  <c r="G29" i="1"/>
  <c r="H29" i="1" s="1"/>
  <c r="G28" i="1"/>
  <c r="H28" i="1" s="1"/>
  <c r="G26" i="1"/>
  <c r="H26" i="1" s="1"/>
  <c r="G44" i="1"/>
  <c r="H44" i="1" s="1"/>
  <c r="G24" i="1"/>
  <c r="H24" i="1" s="1"/>
  <c r="G23" i="1"/>
  <c r="H23" i="1" s="1"/>
  <c r="G22" i="1"/>
  <c r="H22" i="1" s="1"/>
  <c r="G21" i="1"/>
  <c r="H21" i="1" s="1"/>
  <c r="G20" i="1"/>
  <c r="H20" i="1" s="1"/>
  <c r="G18" i="1"/>
  <c r="H18" i="1" s="1"/>
  <c r="G16" i="1"/>
  <c r="H16" i="1" s="1"/>
  <c r="G14" i="1"/>
  <c r="H14" i="1" s="1"/>
  <c r="G66" i="1"/>
  <c r="H66" i="1" s="1"/>
  <c r="G19" i="1"/>
  <c r="H19" i="1" s="1"/>
  <c r="G17" i="1"/>
  <c r="H17" i="1" s="1"/>
  <c r="H139" i="1" l="1"/>
</calcChain>
</file>

<file path=xl/sharedStrings.xml><?xml version="1.0" encoding="utf-8"?>
<sst xmlns="http://schemas.openxmlformats.org/spreadsheetml/2006/main" count="753" uniqueCount="266">
  <si>
    <t>Name</t>
  </si>
  <si>
    <t>Position</t>
  </si>
  <si>
    <t>City</t>
  </si>
  <si>
    <t>Start Date</t>
  </si>
  <si>
    <t>Project</t>
  </si>
  <si>
    <t>Total Years</t>
  </si>
  <si>
    <t>Leaves Score</t>
  </si>
  <si>
    <t>Waad Eshak</t>
  </si>
  <si>
    <t>Project Manager</t>
  </si>
  <si>
    <t>Homs</t>
  </si>
  <si>
    <t>Study Zone</t>
  </si>
  <si>
    <t>Mirvat Dham</t>
  </si>
  <si>
    <t>Communication Officer</t>
  </si>
  <si>
    <t>Hope Center</t>
  </si>
  <si>
    <t>Haya Tahhan</t>
  </si>
  <si>
    <t>DISC</t>
  </si>
  <si>
    <t>Rana Khalifa</t>
  </si>
  <si>
    <t>Field Officer Assistant</t>
  </si>
  <si>
    <t>Training Cener</t>
  </si>
  <si>
    <t>Sally Shanwar</t>
  </si>
  <si>
    <t>Project Assistant Manager</t>
  </si>
  <si>
    <t>Mazen Mansour</t>
  </si>
  <si>
    <t>Legal Affairs Consultant</t>
  </si>
  <si>
    <t>Basem Ibrahim</t>
  </si>
  <si>
    <t>Financial Manager</t>
  </si>
  <si>
    <t>Fadi Al-Zaghrini</t>
  </si>
  <si>
    <t>Monitoring &amp; Evaluation Officer</t>
  </si>
  <si>
    <t>Micro Projects</t>
  </si>
  <si>
    <t>Zeina Heswani</t>
  </si>
  <si>
    <t>Public Relation Officer</t>
  </si>
  <si>
    <t>Maria Ziadeh</t>
  </si>
  <si>
    <t>Center keeper</t>
  </si>
  <si>
    <t>Jouliana Shammas</t>
  </si>
  <si>
    <t>Senior Accountant</t>
  </si>
  <si>
    <t>Latakia</t>
  </si>
  <si>
    <t>Sondos Ghanem</t>
  </si>
  <si>
    <t>Fares Al-Merdaa</t>
  </si>
  <si>
    <t>Logistic</t>
  </si>
  <si>
    <t>Lina Tly</t>
  </si>
  <si>
    <t>Rafah Daher</t>
  </si>
  <si>
    <t>Adonis Mowas</t>
  </si>
  <si>
    <t>Project Team Member</t>
  </si>
  <si>
    <t>Maria Tojjo</t>
  </si>
  <si>
    <t>Ramia Awikeh</t>
  </si>
  <si>
    <t>Toni Azar</t>
  </si>
  <si>
    <t>Ghaith Asaad</t>
  </si>
  <si>
    <t>Communication Officer/Videographer</t>
  </si>
  <si>
    <t>Fares Akhras</t>
  </si>
  <si>
    <t>Mirna Hares</t>
  </si>
  <si>
    <t>Flora Eskef</t>
  </si>
  <si>
    <t>Mariam Hallak</t>
  </si>
  <si>
    <t>Joslin Jabbour</t>
  </si>
  <si>
    <t>Bana Zainoun</t>
  </si>
  <si>
    <t>Mirna Hanna</t>
  </si>
  <si>
    <t>Case Manager</t>
  </si>
  <si>
    <t>Children University</t>
  </si>
  <si>
    <t>Rain Asaad</t>
  </si>
  <si>
    <t>HR Generalist</t>
  </si>
  <si>
    <t>Lilian Alzaher</t>
  </si>
  <si>
    <t>Nabih Daoud</t>
  </si>
  <si>
    <t>Manal Fayad</t>
  </si>
  <si>
    <t>Rima Sukaria</t>
  </si>
  <si>
    <t>Carmen Deeb</t>
  </si>
  <si>
    <t>Architecture Teacher</t>
  </si>
  <si>
    <t>Salam Nassour</t>
  </si>
  <si>
    <t>English Teacher</t>
  </si>
  <si>
    <t>Eliana Salloum</t>
  </si>
  <si>
    <t>Alissar Alnemeh</t>
  </si>
  <si>
    <t>Fadi Mahfoud</t>
  </si>
  <si>
    <t>Hala Nseir</t>
  </si>
  <si>
    <t>Michael Sakrouj</t>
  </si>
  <si>
    <t>Communication Officer/Photographer</t>
  </si>
  <si>
    <t>Zulfiqar Habib</t>
  </si>
  <si>
    <t>Mania Fatra</t>
  </si>
  <si>
    <t>Reham Eshak</t>
  </si>
  <si>
    <t>Tarez Koussa</t>
  </si>
  <si>
    <t>Hussam Mahfoud</t>
  </si>
  <si>
    <t>logistic</t>
  </si>
  <si>
    <t>Hazem Kredy</t>
  </si>
  <si>
    <t>Administrator</t>
  </si>
  <si>
    <t>Rain Bchara</t>
  </si>
  <si>
    <t>Tartus</t>
  </si>
  <si>
    <t>Tony Wassouf</t>
  </si>
  <si>
    <t>Mouzeina</t>
  </si>
  <si>
    <t>Rita Kisoian</t>
  </si>
  <si>
    <t>Lina Bchara</t>
  </si>
  <si>
    <t>Tony Garrouj</t>
  </si>
  <si>
    <t>Daher Shatohy</t>
  </si>
  <si>
    <t>Alber Hneno</t>
  </si>
  <si>
    <t>Issa Abdoush</t>
  </si>
  <si>
    <t xml:space="preserve">Malek Georges </t>
  </si>
  <si>
    <t>Accountant</t>
  </si>
  <si>
    <t>Rafi Louliki</t>
  </si>
  <si>
    <t>IT/ Programmer</t>
  </si>
  <si>
    <t>Anna Jabbour</t>
  </si>
  <si>
    <t>Mirelle Saoud</t>
  </si>
  <si>
    <t>Bashar Sayegh</t>
  </si>
  <si>
    <t>Photographer/Videographer</t>
  </si>
  <si>
    <t>Jameel Swileh</t>
  </si>
  <si>
    <t>Milad Abdullah</t>
  </si>
  <si>
    <t>Yaran  Houhannesian</t>
  </si>
  <si>
    <t>Center Keeper</t>
  </si>
  <si>
    <t>Fouzy Altoumeh</t>
  </si>
  <si>
    <t>Celine Khoury</t>
  </si>
  <si>
    <t>Mechleen Alkhoury</t>
  </si>
  <si>
    <t>Robotics Trainer</t>
  </si>
  <si>
    <t>Tarees Elias</t>
  </si>
  <si>
    <t>Marcelle Sleman</t>
  </si>
  <si>
    <t>Matia Jemmo</t>
  </si>
  <si>
    <t>Waleed Mansour</t>
  </si>
  <si>
    <t>Elie Elias</t>
  </si>
  <si>
    <t>Haitham Naaim</t>
  </si>
  <si>
    <t>project Manager</t>
  </si>
  <si>
    <t>Nadia Haddad</t>
  </si>
  <si>
    <t>Media Teacher</t>
  </si>
  <si>
    <t>Ammar Fakhouri</t>
  </si>
  <si>
    <t>Rahima Alshamali</t>
  </si>
  <si>
    <t>Mary Nader</t>
  </si>
  <si>
    <t>Safaa Boules</t>
  </si>
  <si>
    <t>Karam Tawila</t>
  </si>
  <si>
    <t>Hiba Yaziji</t>
  </si>
  <si>
    <t>Abdullah Jabbour</t>
  </si>
  <si>
    <t>Juliana Mousa</t>
  </si>
  <si>
    <t>Hanan Ibrahim</t>
  </si>
  <si>
    <t>M&amp;E Officer</t>
  </si>
  <si>
    <t>Wajeeh Rabahia</t>
  </si>
  <si>
    <t>IT Specialist</t>
  </si>
  <si>
    <t>Joseph Boutros</t>
  </si>
  <si>
    <t>General science Teacher</t>
  </si>
  <si>
    <t>Reem Hashima</t>
  </si>
  <si>
    <t>Activity Facilitator</t>
  </si>
  <si>
    <t>Adib Hafez</t>
  </si>
  <si>
    <t>Hachem Altahch</t>
  </si>
  <si>
    <t>Jan Ward</t>
  </si>
  <si>
    <t>Harrot Dailloghian</t>
  </si>
  <si>
    <t>Chakib Sattouf</t>
  </si>
  <si>
    <t>Tarek Karam</t>
  </si>
  <si>
    <t>Judy Haroutiun Dadaoghlian</t>
  </si>
  <si>
    <t>IT Manager</t>
  </si>
  <si>
    <t>Aleppo</t>
  </si>
  <si>
    <t>George Jean Abdelnour</t>
  </si>
  <si>
    <t>Associate Communication Manager</t>
  </si>
  <si>
    <t>Lana Elias Abdo</t>
  </si>
  <si>
    <t>Majd Elias Zrek</t>
  </si>
  <si>
    <t>Rama Fouad Daaboul</t>
  </si>
  <si>
    <t>Second Deputy Chief Executive Officer</t>
  </si>
  <si>
    <t>Magie Youssef Najjar</t>
  </si>
  <si>
    <t>LEAP</t>
  </si>
  <si>
    <t>Shadi Firaz Fares Makdessi</t>
  </si>
  <si>
    <t>Senior Financial Manager</t>
  </si>
  <si>
    <t>Antoine Anestas Arbaji</t>
  </si>
  <si>
    <t>Program Manager</t>
  </si>
  <si>
    <t>Fares Joseph Badawi</t>
  </si>
  <si>
    <t>Communication Manager / Syria</t>
  </si>
  <si>
    <t>Salem Samir Shabarekh</t>
  </si>
  <si>
    <t>Logistic Officer</t>
  </si>
  <si>
    <t>Abir Mohamad sabet Al-Fahel</t>
  </si>
  <si>
    <t>Mai Noufal Youssef</t>
  </si>
  <si>
    <t>Miryam Mouhib Dayoub</t>
  </si>
  <si>
    <t>Meghety Garbis Nakkashian</t>
  </si>
  <si>
    <t>Marianne Ghassan Ibrahim Agha</t>
  </si>
  <si>
    <t>Garabed Mher Avedis</t>
  </si>
  <si>
    <t>Projects and Fundraising Manager</t>
  </si>
  <si>
    <t>Rima Sobhi Homsi</t>
  </si>
  <si>
    <t>Hovig Manouel Keshishian</t>
  </si>
  <si>
    <t>Araz Zouhrab Sarajian</t>
  </si>
  <si>
    <t>Project Officer</t>
  </si>
  <si>
    <t>Alice Antranik Kouyoumjian</t>
  </si>
  <si>
    <t>Public Relations Officer</t>
  </si>
  <si>
    <t>Judy Sameer Kelyakoub</t>
  </si>
  <si>
    <t>Angella khalil Smine</t>
  </si>
  <si>
    <t>Boushra Issa Masyout</t>
  </si>
  <si>
    <t>Boushra Elias Almerdaa</t>
  </si>
  <si>
    <t>Abdalmassih Naeem Edelbi</t>
  </si>
  <si>
    <t>George Alexsander Yachouh</t>
  </si>
  <si>
    <t>Mario Boutros Arslan</t>
  </si>
  <si>
    <t>Communication Officer / Videographer</t>
  </si>
  <si>
    <t>Anthony Pierre Hajjar</t>
  </si>
  <si>
    <t>Hikmat Faeez Joubi</t>
  </si>
  <si>
    <t>Communication Officer / Designer</t>
  </si>
  <si>
    <t>Rami George Tarek</t>
  </si>
  <si>
    <t>Maria Ohanes Kelaghaian</t>
  </si>
  <si>
    <t>Katia Garabed Sarimanoukian</t>
  </si>
  <si>
    <t>George Fateh Tello</t>
  </si>
  <si>
    <t>Communication Officer / Photographer</t>
  </si>
  <si>
    <t>Jean George Melkon</t>
  </si>
  <si>
    <t>Rita Ziad Alnahi</t>
  </si>
  <si>
    <t>Engineering Teacher</t>
  </si>
  <si>
    <t>Carla Salim Ghoulam</t>
  </si>
  <si>
    <t>Medical Science Teacher</t>
  </si>
  <si>
    <t>Paula Salim Ghoulam</t>
  </si>
  <si>
    <t>ICDL Trainer</t>
  </si>
  <si>
    <t>Rajaa Jamil Albitar</t>
  </si>
  <si>
    <t>Rita Garabed Isbejrian</t>
  </si>
  <si>
    <t>Ani Zouhrab Mgrdichian</t>
  </si>
  <si>
    <t>Fadi Abdalkader Dabbagh</t>
  </si>
  <si>
    <t>Relief Manager</t>
  </si>
  <si>
    <t>Rami Osman Osman</t>
  </si>
  <si>
    <t>MEAL Manager</t>
  </si>
  <si>
    <t>Claudette George Kayrouz</t>
  </si>
  <si>
    <t>Simon Aatef Alhajal</t>
  </si>
  <si>
    <t>Youssef Naaoum Kharbout</t>
  </si>
  <si>
    <t>Joslin George Garabedian</t>
  </si>
  <si>
    <t>Reine George Shenekji</t>
  </si>
  <si>
    <t>Wissam George Mssady</t>
  </si>
  <si>
    <t>Josephine George Hajjat</t>
  </si>
  <si>
    <t>Gabriel George Dayekh</t>
  </si>
  <si>
    <t>Miryam Mikhael Masri</t>
  </si>
  <si>
    <t>Viken Parkev Yaghjian</t>
  </si>
  <si>
    <t>Spiritual Care Specialist</t>
  </si>
  <si>
    <t>Marina Setrag Etimezian</t>
  </si>
  <si>
    <t>Mario Moussali</t>
  </si>
  <si>
    <t>Fadi Baghdassar</t>
  </si>
  <si>
    <t>Joseph Antoun Doumat</t>
  </si>
  <si>
    <t>Joseph George Shenekji</t>
  </si>
  <si>
    <t>Years</t>
  </si>
  <si>
    <t>Vacation Days</t>
  </si>
  <si>
    <t>Tamara Kazour</t>
  </si>
  <si>
    <t>Maya Doumat</t>
  </si>
  <si>
    <t>Hanna Mansour</t>
  </si>
  <si>
    <t>Lina Sayegh</t>
  </si>
  <si>
    <t>Sharbel Basmaji</t>
  </si>
  <si>
    <t>Maya Baladi</t>
  </si>
  <si>
    <t>Samer Abou Arraj</t>
  </si>
  <si>
    <t>Micro Project manager</t>
  </si>
  <si>
    <t>Damascus</t>
  </si>
  <si>
    <t>Ehab Haddad</t>
  </si>
  <si>
    <t>Field Officer</t>
  </si>
  <si>
    <t>Mirelle Hanna</t>
  </si>
  <si>
    <t>Jalil Thalab</t>
  </si>
  <si>
    <t>Nour Alzawahra</t>
  </si>
  <si>
    <t>Omran Alnasser</t>
  </si>
  <si>
    <t>Feryal Salame</t>
  </si>
  <si>
    <t>Rawad Abou Hamad</t>
  </si>
  <si>
    <t>Aram Ajamian</t>
  </si>
  <si>
    <t>Imad Rezek</t>
  </si>
  <si>
    <t>Elias Lutfi</t>
  </si>
  <si>
    <t>Karam Nassar</t>
  </si>
  <si>
    <t>Dani Hanna</t>
  </si>
  <si>
    <t>George Al Horani</t>
  </si>
  <si>
    <t>Ghraphic Design Manager</t>
  </si>
  <si>
    <t>Mirna Badra</t>
  </si>
  <si>
    <t>Rama Mikhael</t>
  </si>
  <si>
    <t>Naziha Salameh</t>
  </si>
  <si>
    <t>wedad Salame</t>
  </si>
  <si>
    <t>Antoun Al-Sakt</t>
  </si>
  <si>
    <t>Bahaa Roumieh</t>
  </si>
  <si>
    <t>Nibal Elias</t>
  </si>
  <si>
    <t>Fadi Aldhem</t>
  </si>
  <si>
    <t>Bassel Kahila</t>
  </si>
  <si>
    <t>Baydaa Sayyed Youssef</t>
  </si>
  <si>
    <t>Maryam Shanaa</t>
  </si>
  <si>
    <t>Atreen Karkour</t>
  </si>
  <si>
    <t>Mores Mahfoud</t>
  </si>
  <si>
    <t>Marina Deeb</t>
  </si>
  <si>
    <t>Bashar Wassouf</t>
  </si>
  <si>
    <t>Ghassan Yazigi</t>
  </si>
  <si>
    <t>2-9-2024 - 2-9-2025 Active/ 2-9-2025 31-1-2026 Inactive/ 1-2-2026 - Present, Active</t>
  </si>
  <si>
    <t>1-2-2024 - 1-4-2025 (Service Agreement)</t>
  </si>
  <si>
    <t>01/11/2024 - 1-12-2025 (Service Agreement)</t>
  </si>
  <si>
    <t>George Shammeh</t>
  </si>
  <si>
    <t>IT specialist</t>
  </si>
  <si>
    <t>Wasfi Touma</t>
  </si>
  <si>
    <t>Entrepreneurship Teacher</t>
  </si>
  <si>
    <t>Kinan Saad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</si>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</sst>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Somar Sans"/>
      <family val="3"/>
    </font>
    <font>
      <sz val="11"/>
      <name val="Somar San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/>
    <xf numFmtId="14" fontId="1" fillId="0" borderId="4" xfId="0" applyNumberFormat="1" applyFont="1" applyBorder="1" applyAlignment="1">
      <alignment horizontal="center"/>
    </xf>
    <xf numFmtId="164" fontId="2" fillId="3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mar Sans"/>
        <family val="3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omar Sans"/>
        <family val="3"/>
        <scheme val="none"/>
      </font>
      <numFmt numFmtId="164" formatCode="yyyy\-mm\-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mar Sans"/>
        <family val="3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mar San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mar San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omar Sans"/>
        <family val="3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omar Sans"/>
        <family val="3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mar San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mar Sans"/>
        <family val="3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mar Sans"/>
        <family val="3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rgb="FFC00000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1" defaultTableStyle="TableStyleMedium2" defaultPivotStyle="PivotStyleLight16">
    <tableStyle name="TableStyleMedium1 2" pivot="0" count="7" xr9:uid="{ECD78A82-1C9C-4BC3-BB84-737E4CCCFC81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FCC12-F527-4036-80A9-8E43085F4CB4}" name="Table1" displayName="Table1" ref="A1:H186" totalsRowShown="0" headerRowDxfId="11" dataDxfId="9" headerRowBorderDxfId="10" tableBorderDxfId="8">
  <autoFilter ref="A1:H186" xr:uid="{A41FCC12-F527-4036-80A9-8E43085F4CB4}"/>
  <sortState xmlns:xlrd2="http://schemas.microsoft.com/office/spreadsheetml/2017/richdata2" ref="A2:H186">
    <sortCondition ref="A1:A186"/>
  </sortState>
  <tableColumns count="8">
    <tableColumn id="8" xr3:uid="{F9C6F83D-3C64-40BA-B482-249F149876E6}" name="ID" dataDxfId="0"/>
    <tableColumn id="1" xr3:uid="{6B080A24-5E8E-4493-B5BC-46EEB3387462}" name="Name" dataDxfId="1"/>
    <tableColumn id="2" xr3:uid="{312A4E1F-3B98-4FF3-A790-B5EA9E3B6C46}" name="Position" dataDxfId="7"/>
    <tableColumn id="3" xr3:uid="{7B971CBE-5A3A-4477-8CAF-6685A857F605}" name="City" dataDxfId="6"/>
    <tableColumn id="4" xr3:uid="{41C34CFE-3B34-4283-BFAF-CE017BCC6949}" name="Start Date" dataDxfId="5"/>
    <tableColumn id="5" xr3:uid="{801CA3B4-585C-40A1-9AB2-C42AEDB4680A}" name="Project" dataDxfId="4"/>
    <tableColumn id="6" xr3:uid="{233E842A-892E-41DF-8B99-0E6F9085C16C}" name="Total Years" dataDxfId="3">
      <calculatedColumnFormula>DATEDIF(E2, TODAY(), "Y")</calculatedColumnFormula>
    </tableColumn>
    <tableColumn id="7" xr3:uid="{1E29F29F-3C59-4A8C-9E5B-90B586EC41C7}" name="Leaves Score" dataDxfId="2">
      <calculatedColumnFormula>INDEX(Table2[Vacation Days],MATCH(Table1[[#This Row],[Total Years]],Table2[Years],0))</calculatedColumnFormula>
    </tableColumn>
  </tableColumns>
  <tableStyleInfo name="TableStyleMedium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B609C-41B4-4CA1-8A96-39DDFBC5FAA1}" name="Table2" displayName="Table2" ref="A1:B12" totalsRowShown="0">
  <autoFilter ref="A1:B12" xr:uid="{AD0B609C-41B4-4CA1-8A96-39DDFBC5FAA1}"/>
  <tableColumns count="2">
    <tableColumn id="1" xr3:uid="{88C2066C-BF86-46F4-9E2B-1491279B28E1}" name="Years"/>
    <tableColumn id="2" xr3:uid="{A29F6F08-3C00-4224-AE42-F29C381F9219}" name="Vacation Days"/>
  </tableColumns>
  <tableStyleInfo name="TableStyleMedium1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8" sqref="M18"/>
    </sheetView>
  </sheetViews>
  <sheetFormatPr defaultRowHeight="14.4" x14ac:dyDescent="0.3"/>
  <cols>
    <col min="1" max="1" width="7.44140625" bestFit="1" customWidth="1"/>
    <col min="2" max="2" width="39.44140625" bestFit="1" customWidth="1"/>
    <col min="3" max="3" width="12.109375" bestFit="1" customWidth="1"/>
    <col min="4" max="4" width="13" customWidth="1"/>
    <col min="5" max="5" width="20.44140625" bestFit="1" customWidth="1"/>
    <col min="6" max="6" width="14.33203125" customWidth="1"/>
    <col min="7" max="7" width="16.44140625" customWidth="1"/>
    <col min="8" max="8" width="21.109375" bestFit="1" customWidth="1"/>
  </cols>
  <sheetData>
    <row r="1" spans="1:9" ht="19.2" x14ac:dyDescent="0.3">
      <c r="A1" s="20" t="s">
        <v>265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</row>
    <row r="2" spans="1:9" ht="19.2" x14ac:dyDescent="0.3">
      <c r="A2" s="21">
        <v>7</v>
      </c>
      <c r="B2" s="8" t="s">
        <v>137</v>
      </c>
      <c r="C2" s="5" t="s">
        <v>138</v>
      </c>
      <c r="D2" s="6" t="s">
        <v>139</v>
      </c>
      <c r="E2" s="6">
        <v>43101</v>
      </c>
      <c r="F2" s="5" t="s">
        <v>13</v>
      </c>
      <c r="G2" s="5">
        <f ca="1">DATEDIF(E2, TODAY(), "Y")</f>
        <v>8</v>
      </c>
      <c r="H2" s="5">
        <f ca="1">INDEX(Table2[Vacation Days],MATCH(Table1[[#This Row],[Total Years]],Table2[Years],0))</f>
        <v>26</v>
      </c>
      <c r="I2" s="3"/>
    </row>
    <row r="3" spans="1:9" ht="19.2" x14ac:dyDescent="0.3">
      <c r="A3" s="22">
        <v>8</v>
      </c>
      <c r="B3" s="4" t="s">
        <v>140</v>
      </c>
      <c r="C3" s="5" t="s">
        <v>141</v>
      </c>
      <c r="D3" s="6" t="s">
        <v>139</v>
      </c>
      <c r="E3" s="6">
        <v>43143</v>
      </c>
      <c r="F3" s="5" t="s">
        <v>13</v>
      </c>
      <c r="G3" s="5">
        <f ca="1">DATEDIF(E3, TODAY(), "Y")</f>
        <v>8</v>
      </c>
      <c r="H3" s="5">
        <f ca="1">INDEX(Table2[Vacation Days],MATCH(Table1[[#This Row],[Total Years]],Table2[Years],0))</f>
        <v>26</v>
      </c>
      <c r="I3" s="3"/>
    </row>
    <row r="4" spans="1:9" ht="19.2" x14ac:dyDescent="0.3">
      <c r="A4" s="22">
        <v>11</v>
      </c>
      <c r="B4" s="14" t="s">
        <v>142</v>
      </c>
      <c r="C4" s="5" t="s">
        <v>57</v>
      </c>
      <c r="D4" s="6" t="s">
        <v>139</v>
      </c>
      <c r="E4" s="6">
        <v>43132</v>
      </c>
      <c r="F4" s="5" t="s">
        <v>13</v>
      </c>
      <c r="G4" s="5">
        <f ca="1">DATEDIF(E4, TODAY(), "Y")</f>
        <v>8</v>
      </c>
      <c r="H4" s="5">
        <f ca="1">INDEX(Table2[Vacation Days],MATCH(Table1[[#This Row],[Total Years]],Table2[Years],0))</f>
        <v>26</v>
      </c>
      <c r="I4" s="3"/>
    </row>
    <row r="5" spans="1:9" ht="19.2" x14ac:dyDescent="0.3">
      <c r="A5" s="22">
        <v>14</v>
      </c>
      <c r="B5" s="4" t="s">
        <v>143</v>
      </c>
      <c r="C5" s="5" t="s">
        <v>22</v>
      </c>
      <c r="D5" s="6" t="s">
        <v>139</v>
      </c>
      <c r="E5" s="6">
        <v>43160</v>
      </c>
      <c r="F5" s="5" t="s">
        <v>13</v>
      </c>
      <c r="G5" s="5">
        <f ca="1">DATEDIF(E5, TODAY(), "Y")</f>
        <v>8</v>
      </c>
      <c r="H5" s="5">
        <f ca="1">INDEX(Table2[Vacation Days],MATCH(Table1[[#This Row],[Total Years]],Table2[Years],0))</f>
        <v>26</v>
      </c>
      <c r="I5" s="3"/>
    </row>
    <row r="6" spans="1:9" ht="19.2" x14ac:dyDescent="0.3">
      <c r="A6" s="22">
        <v>22</v>
      </c>
      <c r="B6" s="14" t="s">
        <v>144</v>
      </c>
      <c r="C6" s="5" t="s">
        <v>145</v>
      </c>
      <c r="D6" s="6" t="s">
        <v>139</v>
      </c>
      <c r="E6" s="6">
        <v>43344</v>
      </c>
      <c r="F6" s="5" t="s">
        <v>13</v>
      </c>
      <c r="G6" s="5">
        <f ca="1">DATEDIF(E6, TODAY(), "Y")</f>
        <v>7</v>
      </c>
      <c r="H6" s="5">
        <f ca="1">INDEX(Table2[Vacation Days],MATCH(Table1[[#This Row],[Total Years]],Table2[Years],0))</f>
        <v>24</v>
      </c>
      <c r="I6" s="3"/>
    </row>
    <row r="7" spans="1:9" ht="19.2" x14ac:dyDescent="0.3">
      <c r="A7" s="22">
        <v>24</v>
      </c>
      <c r="B7" s="4" t="s">
        <v>146</v>
      </c>
      <c r="C7" s="5" t="s">
        <v>31</v>
      </c>
      <c r="D7" s="6" t="s">
        <v>139</v>
      </c>
      <c r="E7" s="6">
        <v>43420</v>
      </c>
      <c r="F7" s="5" t="s">
        <v>147</v>
      </c>
      <c r="G7" s="5">
        <f ca="1">DATEDIF(E7, TODAY(), "Y")</f>
        <v>7</v>
      </c>
      <c r="H7" s="5">
        <f ca="1">INDEX(Table2[Vacation Days],MATCH(Table1[[#This Row],[Total Years]],Table2[Years],0))</f>
        <v>24</v>
      </c>
      <c r="I7" s="3"/>
    </row>
    <row r="8" spans="1:9" ht="19.2" x14ac:dyDescent="0.3">
      <c r="A8" s="22">
        <v>26</v>
      </c>
      <c r="B8" s="14" t="s">
        <v>148</v>
      </c>
      <c r="C8" s="5" t="s">
        <v>149</v>
      </c>
      <c r="D8" s="6" t="s">
        <v>139</v>
      </c>
      <c r="E8" s="6">
        <v>43497</v>
      </c>
      <c r="F8" s="5" t="s">
        <v>13</v>
      </c>
      <c r="G8" s="5">
        <f ca="1">DATEDIF(E8, TODAY(), "Y")</f>
        <v>7</v>
      </c>
      <c r="H8" s="5">
        <f ca="1">INDEX(Table2[Vacation Days],MATCH(Table1[[#This Row],[Total Years]],Table2[Years],0))</f>
        <v>24</v>
      </c>
      <c r="I8" s="3"/>
    </row>
    <row r="9" spans="1:9" ht="19.2" x14ac:dyDescent="0.3">
      <c r="A9" s="22">
        <v>34</v>
      </c>
      <c r="B9" s="4" t="s">
        <v>150</v>
      </c>
      <c r="C9" s="5" t="s">
        <v>151</v>
      </c>
      <c r="D9" s="6" t="s">
        <v>139</v>
      </c>
      <c r="E9" s="6">
        <v>43739</v>
      </c>
      <c r="F9" s="5" t="s">
        <v>13</v>
      </c>
      <c r="G9" s="5">
        <f ca="1">DATEDIF(E9, TODAY(), "Y")</f>
        <v>6</v>
      </c>
      <c r="H9" s="5">
        <f ca="1">INDEX(Table2[Vacation Days],MATCH(Table1[[#This Row],[Total Years]],Table2[Years],0))</f>
        <v>22</v>
      </c>
      <c r="I9" s="3"/>
    </row>
    <row r="10" spans="1:9" ht="19.2" x14ac:dyDescent="0.3">
      <c r="A10" s="22">
        <v>36</v>
      </c>
      <c r="B10" s="14" t="s">
        <v>152</v>
      </c>
      <c r="C10" s="5" t="s">
        <v>153</v>
      </c>
      <c r="D10" s="6" t="s">
        <v>139</v>
      </c>
      <c r="E10" s="6">
        <v>43862</v>
      </c>
      <c r="F10" s="5" t="s">
        <v>13</v>
      </c>
      <c r="G10" s="5">
        <f ca="1">DATEDIF(E10, TODAY(), "Y")</f>
        <v>6</v>
      </c>
      <c r="H10" s="5">
        <f ca="1">INDEX(Table2[Vacation Days],MATCH(Table1[[#This Row],[Total Years]],Table2[Years],0))</f>
        <v>22</v>
      </c>
      <c r="I10" s="3"/>
    </row>
    <row r="11" spans="1:9" ht="19.2" x14ac:dyDescent="0.3">
      <c r="A11" s="22">
        <v>38</v>
      </c>
      <c r="B11" s="4" t="s">
        <v>154</v>
      </c>
      <c r="C11" s="5" t="s">
        <v>155</v>
      </c>
      <c r="D11" s="6" t="s">
        <v>139</v>
      </c>
      <c r="E11" s="6">
        <v>43983</v>
      </c>
      <c r="F11" s="5" t="s">
        <v>13</v>
      </c>
      <c r="G11" s="5">
        <f ca="1">DATEDIF(E11, TODAY(), "Y")</f>
        <v>6</v>
      </c>
      <c r="H11" s="5">
        <f ca="1">INDEX(Table2[Vacation Days],MATCH(Table1[[#This Row],[Total Years]],Table2[Years],0))</f>
        <v>22</v>
      </c>
      <c r="I11" s="3"/>
    </row>
    <row r="12" spans="1:9" ht="19.2" x14ac:dyDescent="0.3">
      <c r="A12" s="22">
        <v>67</v>
      </c>
      <c r="B12" s="4" t="s">
        <v>245</v>
      </c>
      <c r="C12" s="5" t="s">
        <v>41</v>
      </c>
      <c r="D12" s="6" t="s">
        <v>225</v>
      </c>
      <c r="E12" s="6">
        <v>44198</v>
      </c>
      <c r="F12" s="5" t="s">
        <v>10</v>
      </c>
      <c r="G12" s="5">
        <f ca="1">DATEDIF(E12, TODAY(), "Y")</f>
        <v>5</v>
      </c>
      <c r="H12" s="5">
        <f ca="1">INDEX(Table2[Vacation Days],MATCH(Table1[[#This Row],[Total Years]],Table2[Years],0))</f>
        <v>20</v>
      </c>
      <c r="I12" s="3"/>
    </row>
    <row r="13" spans="1:9" ht="19.2" x14ac:dyDescent="0.3">
      <c r="A13" s="22">
        <v>69</v>
      </c>
      <c r="B13" s="4" t="s">
        <v>249</v>
      </c>
      <c r="C13" s="5" t="s">
        <v>41</v>
      </c>
      <c r="D13" s="6" t="s">
        <v>225</v>
      </c>
      <c r="E13" s="6">
        <v>44198</v>
      </c>
      <c r="F13" s="5" t="s">
        <v>10</v>
      </c>
      <c r="G13" s="5">
        <f ca="1">DATEDIF(E13, TODAY(), "Y")</f>
        <v>5</v>
      </c>
      <c r="H13" s="5">
        <f ca="1">INDEX(Table2[Vacation Days],MATCH(Table1[[#This Row],[Total Years]],Table2[Years],0))</f>
        <v>20</v>
      </c>
      <c r="I13" s="3"/>
    </row>
    <row r="14" spans="1:9" ht="19.2" x14ac:dyDescent="0.3">
      <c r="A14" s="22">
        <v>76</v>
      </c>
      <c r="B14" s="8" t="s">
        <v>16</v>
      </c>
      <c r="C14" s="5" t="s">
        <v>17</v>
      </c>
      <c r="D14" s="6" t="s">
        <v>9</v>
      </c>
      <c r="E14" s="6">
        <v>43862</v>
      </c>
      <c r="F14" s="5" t="s">
        <v>18</v>
      </c>
      <c r="G14" s="5">
        <f ca="1">DATEDIF(E14, TODAY(), "Y")</f>
        <v>6</v>
      </c>
      <c r="H14" s="5">
        <f ca="1">INDEX(Table2[Vacation Days],MATCH(Table1[[#This Row],[Total Years]],Table2[Years],0))</f>
        <v>22</v>
      </c>
      <c r="I14" s="3"/>
    </row>
    <row r="15" spans="1:9" ht="19.2" x14ac:dyDescent="0.6">
      <c r="A15" s="22">
        <v>78</v>
      </c>
      <c r="B15" s="4" t="s">
        <v>135</v>
      </c>
      <c r="C15" s="5" t="s">
        <v>29</v>
      </c>
      <c r="D15" s="5" t="s">
        <v>83</v>
      </c>
      <c r="E15" s="13">
        <v>44228</v>
      </c>
      <c r="F15" s="5" t="s">
        <v>10</v>
      </c>
      <c r="G15" s="5">
        <f ca="1">DATEDIF(E15, TODAY(), "Y")</f>
        <v>5</v>
      </c>
      <c r="H15" s="5">
        <f ca="1">INDEX(Table2[Vacation Days],MATCH(Table1[[#This Row],[Total Years]],Table2[Years],0))</f>
        <v>20</v>
      </c>
      <c r="I15" s="3"/>
    </row>
    <row r="16" spans="1:9" ht="19.2" x14ac:dyDescent="0.3">
      <c r="A16" s="22">
        <v>80</v>
      </c>
      <c r="B16" s="4" t="s">
        <v>19</v>
      </c>
      <c r="C16" s="5" t="s">
        <v>20</v>
      </c>
      <c r="D16" s="5" t="s">
        <v>9</v>
      </c>
      <c r="E16" s="6">
        <v>43983</v>
      </c>
      <c r="F16" s="5" t="s">
        <v>10</v>
      </c>
      <c r="G16" s="5">
        <f ca="1">DATEDIF(E16, TODAY(), "Y")</f>
        <v>6</v>
      </c>
      <c r="H16" s="7">
        <f ca="1">INDEX(Table2[Vacation Days],MATCH(Table1[[#This Row],[Total Years]],Table2[Years],0))</f>
        <v>22</v>
      </c>
      <c r="I16" s="3"/>
    </row>
    <row r="17" spans="1:9" ht="19.2" x14ac:dyDescent="0.3">
      <c r="A17" s="22">
        <v>83</v>
      </c>
      <c r="B17" s="4" t="s">
        <v>7</v>
      </c>
      <c r="C17" s="5" t="s">
        <v>8</v>
      </c>
      <c r="D17" s="5" t="s">
        <v>9</v>
      </c>
      <c r="E17" s="6">
        <v>43174</v>
      </c>
      <c r="F17" s="5" t="s">
        <v>10</v>
      </c>
      <c r="G17" s="5">
        <f ca="1">DATEDIF(E17, TODAY(), "Y")</f>
        <v>8</v>
      </c>
      <c r="H17" s="7">
        <f ca="1">INDEX(Table2[Vacation Days],MATCH(Table1[[#This Row],[Total Years]],Table2[Years],0))</f>
        <v>26</v>
      </c>
      <c r="I17" s="3"/>
    </row>
    <row r="18" spans="1:9" ht="19.2" x14ac:dyDescent="0.3">
      <c r="A18" s="22">
        <v>86</v>
      </c>
      <c r="B18" s="4" t="s">
        <v>21</v>
      </c>
      <c r="C18" s="5" t="s">
        <v>22</v>
      </c>
      <c r="D18" s="5" t="s">
        <v>9</v>
      </c>
      <c r="E18" s="6">
        <v>44075</v>
      </c>
      <c r="F18" s="5" t="s">
        <v>13</v>
      </c>
      <c r="G18" s="5">
        <f ca="1">DATEDIF(E18, TODAY(), "Y")</f>
        <v>5</v>
      </c>
      <c r="H18" s="7">
        <f ca="1">INDEX(Table2[Vacation Days],MATCH(Table1[[#This Row],[Total Years]],Table2[Years],0))</f>
        <v>20</v>
      </c>
      <c r="I18" s="3"/>
    </row>
    <row r="19" spans="1:9" ht="19.2" x14ac:dyDescent="0.3">
      <c r="A19" s="22">
        <v>87</v>
      </c>
      <c r="B19" s="4" t="s">
        <v>11</v>
      </c>
      <c r="C19" s="5" t="s">
        <v>12</v>
      </c>
      <c r="D19" s="5" t="s">
        <v>9</v>
      </c>
      <c r="E19" s="6">
        <v>43783</v>
      </c>
      <c r="F19" s="5" t="s">
        <v>13</v>
      </c>
      <c r="G19" s="5">
        <f ca="1">DATEDIF(E19, TODAY(), "Y")</f>
        <v>6</v>
      </c>
      <c r="H19" s="7">
        <f ca="1">INDEX(Table2[Vacation Days],MATCH(Table1[[#This Row],[Total Years]],Table2[Years],0))</f>
        <v>22</v>
      </c>
      <c r="I19" s="3"/>
    </row>
    <row r="20" spans="1:9" ht="19.2" x14ac:dyDescent="0.3">
      <c r="A20" s="22">
        <v>88</v>
      </c>
      <c r="B20" s="4" t="s">
        <v>23</v>
      </c>
      <c r="C20" s="5" t="s">
        <v>24</v>
      </c>
      <c r="D20" s="5" t="s">
        <v>9</v>
      </c>
      <c r="E20" s="6">
        <v>44075</v>
      </c>
      <c r="F20" s="5" t="s">
        <v>13</v>
      </c>
      <c r="G20" s="5">
        <f ca="1">DATEDIF(E20, TODAY(), "Y")</f>
        <v>5</v>
      </c>
      <c r="H20" s="7">
        <f ca="1">INDEX(Table2[Vacation Days],MATCH(Table1[[#This Row],[Total Years]],Table2[Years],0))</f>
        <v>20</v>
      </c>
      <c r="I20" s="3"/>
    </row>
    <row r="21" spans="1:9" ht="19.2" x14ac:dyDescent="0.3">
      <c r="A21" s="22">
        <v>90</v>
      </c>
      <c r="B21" s="4" t="s">
        <v>25</v>
      </c>
      <c r="C21" s="5" t="s">
        <v>26</v>
      </c>
      <c r="D21" s="5" t="s">
        <v>9</v>
      </c>
      <c r="E21" s="6">
        <v>44075</v>
      </c>
      <c r="F21" s="5" t="s">
        <v>27</v>
      </c>
      <c r="G21" s="5">
        <f ca="1">DATEDIF(E21, TODAY(), "Y")</f>
        <v>5</v>
      </c>
      <c r="H21" s="7">
        <f ca="1">INDEX(Table2[Vacation Days],MATCH(Table1[[#This Row],[Total Years]],Table2[Years],0))</f>
        <v>20</v>
      </c>
      <c r="I21" s="3"/>
    </row>
    <row r="22" spans="1:9" ht="19.2" x14ac:dyDescent="0.3">
      <c r="A22" s="22">
        <v>93</v>
      </c>
      <c r="B22" s="4" t="s">
        <v>28</v>
      </c>
      <c r="C22" s="5" t="s">
        <v>29</v>
      </c>
      <c r="D22" s="5" t="s">
        <v>9</v>
      </c>
      <c r="E22" s="6">
        <v>44075</v>
      </c>
      <c r="F22" s="5" t="s">
        <v>13</v>
      </c>
      <c r="G22" s="5">
        <f ca="1">DATEDIF(E22, TODAY(), "Y")</f>
        <v>5</v>
      </c>
      <c r="H22" s="7">
        <f ca="1">INDEX(Table2[Vacation Days],MATCH(Table1[[#This Row],[Total Years]],Table2[Years],0))</f>
        <v>20</v>
      </c>
      <c r="I22" s="3"/>
    </row>
    <row r="23" spans="1:9" ht="19.2" x14ac:dyDescent="0.3">
      <c r="A23" s="22">
        <v>95</v>
      </c>
      <c r="B23" s="4" t="s">
        <v>30</v>
      </c>
      <c r="C23" s="5" t="s">
        <v>31</v>
      </c>
      <c r="D23" s="5" t="s">
        <v>9</v>
      </c>
      <c r="E23" s="6">
        <v>44153</v>
      </c>
      <c r="F23" s="5" t="s">
        <v>15</v>
      </c>
      <c r="G23" s="5">
        <f ca="1">DATEDIF(E23, TODAY(), "Y")</f>
        <v>5</v>
      </c>
      <c r="H23" s="7">
        <f ca="1">INDEX(Table2[Vacation Days],MATCH(Table1[[#This Row],[Total Years]],Table2[Years],0))</f>
        <v>20</v>
      </c>
      <c r="I23" s="3"/>
    </row>
    <row r="24" spans="1:9" ht="19.2" x14ac:dyDescent="0.3">
      <c r="A24" s="22">
        <v>98</v>
      </c>
      <c r="B24" s="4" t="s">
        <v>32</v>
      </c>
      <c r="C24" s="5" t="s">
        <v>33</v>
      </c>
      <c r="D24" s="5" t="s">
        <v>9</v>
      </c>
      <c r="E24" s="6">
        <v>44171</v>
      </c>
      <c r="F24" s="5" t="s">
        <v>13</v>
      </c>
      <c r="G24" s="5">
        <f ca="1">DATEDIF(E24, TODAY(), "Y")</f>
        <v>5</v>
      </c>
      <c r="H24" s="7">
        <f ca="1">INDEX(Table2[Vacation Days],MATCH(Table1[[#This Row],[Total Years]],Table2[Years],0))</f>
        <v>20</v>
      </c>
      <c r="I24" s="3"/>
    </row>
    <row r="25" spans="1:9" ht="19.2" x14ac:dyDescent="0.3">
      <c r="A25" s="22">
        <v>105</v>
      </c>
      <c r="B25" s="14" t="s">
        <v>156</v>
      </c>
      <c r="C25" s="5" t="s">
        <v>31</v>
      </c>
      <c r="D25" s="6" t="s">
        <v>139</v>
      </c>
      <c r="E25" s="6">
        <v>43374</v>
      </c>
      <c r="F25" s="5" t="s">
        <v>55</v>
      </c>
      <c r="G25" s="5">
        <f ca="1">DATEDIF(E25, TODAY(), "Y")</f>
        <v>7</v>
      </c>
      <c r="H25" s="5">
        <f ca="1">INDEX(Table2[Vacation Days],MATCH(Table1[[#This Row],[Total Years]],Table2[Years],0))</f>
        <v>24</v>
      </c>
      <c r="I25" s="3"/>
    </row>
    <row r="26" spans="1:9" ht="19.2" x14ac:dyDescent="0.3">
      <c r="A26" s="22">
        <v>113</v>
      </c>
      <c r="B26" s="4" t="s">
        <v>36</v>
      </c>
      <c r="C26" s="5" t="s">
        <v>37</v>
      </c>
      <c r="D26" s="5" t="s">
        <v>9</v>
      </c>
      <c r="E26" s="6">
        <v>44256</v>
      </c>
      <c r="F26" s="5" t="s">
        <v>13</v>
      </c>
      <c r="G26" s="5">
        <f ca="1">DATEDIF(E26, TODAY(), "Y")</f>
        <v>5</v>
      </c>
      <c r="H26" s="7">
        <f ca="1">INDEX(Table2[Vacation Days],MATCH(Table1[[#This Row],[Total Years]],Table2[Years],0))</f>
        <v>20</v>
      </c>
      <c r="I26" s="3"/>
    </row>
    <row r="27" spans="1:9" ht="19.2" x14ac:dyDescent="0.3">
      <c r="A27" s="22">
        <v>116</v>
      </c>
      <c r="B27" s="4" t="s">
        <v>51</v>
      </c>
      <c r="C27" s="5" t="s">
        <v>31</v>
      </c>
      <c r="D27" s="5" t="s">
        <v>34</v>
      </c>
      <c r="E27" s="6">
        <v>44701</v>
      </c>
      <c r="F27" s="5" t="s">
        <v>10</v>
      </c>
      <c r="G27" s="5">
        <f ca="1">DATEDIF(E27, TODAY(), "Y")</f>
        <v>4</v>
      </c>
      <c r="H27" s="7">
        <f ca="1">INDEX(Table2[Vacation Days],MATCH(Table1[[#This Row],[Total Years]],Table2[Years],0))</f>
        <v>18</v>
      </c>
      <c r="I27" s="3"/>
    </row>
    <row r="28" spans="1:9" ht="19.2" x14ac:dyDescent="0.3">
      <c r="A28" s="22">
        <v>118</v>
      </c>
      <c r="B28" s="4" t="s">
        <v>38</v>
      </c>
      <c r="C28" s="5" t="s">
        <v>31</v>
      </c>
      <c r="D28" s="5" t="s">
        <v>9</v>
      </c>
      <c r="E28" s="6">
        <v>44256</v>
      </c>
      <c r="F28" s="5" t="s">
        <v>10</v>
      </c>
      <c r="G28" s="5">
        <f ca="1">DATEDIF(E28, TODAY(), "Y")</f>
        <v>5</v>
      </c>
      <c r="H28" s="7">
        <f ca="1">INDEX(Table2[Vacation Days],MATCH(Table1[[#This Row],[Total Years]],Table2[Years],0))</f>
        <v>20</v>
      </c>
      <c r="I28" s="3"/>
    </row>
    <row r="29" spans="1:9" ht="19.2" x14ac:dyDescent="0.3">
      <c r="A29" s="22">
        <v>119</v>
      </c>
      <c r="B29" s="4" t="s">
        <v>39</v>
      </c>
      <c r="C29" s="5" t="s">
        <v>31</v>
      </c>
      <c r="D29" s="5" t="s">
        <v>9</v>
      </c>
      <c r="E29" s="6">
        <v>44256</v>
      </c>
      <c r="F29" s="5" t="s">
        <v>10</v>
      </c>
      <c r="G29" s="5">
        <f ca="1">DATEDIF(E29, TODAY(), "Y")</f>
        <v>5</v>
      </c>
      <c r="H29" s="7">
        <f ca="1">INDEX(Table2[Vacation Days],MATCH(Table1[[#This Row],[Total Years]],Table2[Years],0))</f>
        <v>20</v>
      </c>
      <c r="I29" s="3"/>
    </row>
    <row r="30" spans="1:9" ht="19.2" x14ac:dyDescent="0.3">
      <c r="A30" s="22">
        <v>121</v>
      </c>
      <c r="B30" s="14" t="s">
        <v>235</v>
      </c>
      <c r="C30" s="5" t="s">
        <v>37</v>
      </c>
      <c r="D30" s="6" t="s">
        <v>225</v>
      </c>
      <c r="E30" s="6">
        <v>44298</v>
      </c>
      <c r="F30" s="5" t="s">
        <v>13</v>
      </c>
      <c r="G30" s="5">
        <f ca="1">DATEDIF(E30, TODAY(), "Y")</f>
        <v>5</v>
      </c>
      <c r="H30" s="5">
        <f ca="1">INDEX(Table2[Vacation Days],MATCH(Table1[[#This Row],[Total Years]],Table2[Years],0))</f>
        <v>20</v>
      </c>
      <c r="I30" s="3"/>
    </row>
    <row r="31" spans="1:9" ht="19.2" x14ac:dyDescent="0.3">
      <c r="A31" s="22">
        <v>124</v>
      </c>
      <c r="B31" s="4" t="s">
        <v>40</v>
      </c>
      <c r="C31" s="5" t="s">
        <v>41</v>
      </c>
      <c r="D31" s="5" t="s">
        <v>34</v>
      </c>
      <c r="E31" s="6">
        <v>44317</v>
      </c>
      <c r="F31" s="5" t="s">
        <v>13</v>
      </c>
      <c r="G31" s="5">
        <f ca="1">DATEDIF(E31, TODAY(), "Y")</f>
        <v>5</v>
      </c>
      <c r="H31" s="7">
        <f ca="1">INDEX(Table2[Vacation Days],MATCH(Table1[[#This Row],[Total Years]],Table2[Years],0))</f>
        <v>20</v>
      </c>
      <c r="I31" s="3"/>
    </row>
    <row r="32" spans="1:9" ht="19.2" x14ac:dyDescent="0.3">
      <c r="A32" s="22">
        <v>125</v>
      </c>
      <c r="B32" s="4" t="s">
        <v>42</v>
      </c>
      <c r="C32" s="5" t="s">
        <v>41</v>
      </c>
      <c r="D32" s="5" t="s">
        <v>34</v>
      </c>
      <c r="E32" s="6">
        <v>44317</v>
      </c>
      <c r="F32" s="5" t="s">
        <v>10</v>
      </c>
      <c r="G32" s="5">
        <f ca="1">DATEDIF(E32, TODAY(), "Y")</f>
        <v>5</v>
      </c>
      <c r="H32" s="7">
        <f ca="1">INDEX(Table2[Vacation Days],MATCH(Table1[[#This Row],[Total Years]],Table2[Years],0))</f>
        <v>20</v>
      </c>
      <c r="I32" s="3"/>
    </row>
    <row r="33" spans="1:9" ht="19.2" x14ac:dyDescent="0.3">
      <c r="A33" s="22">
        <v>126</v>
      </c>
      <c r="B33" s="4" t="s">
        <v>43</v>
      </c>
      <c r="C33" s="5" t="s">
        <v>41</v>
      </c>
      <c r="D33" s="5" t="s">
        <v>34</v>
      </c>
      <c r="E33" s="6">
        <v>44317</v>
      </c>
      <c r="F33" s="5" t="s">
        <v>10</v>
      </c>
      <c r="G33" s="5">
        <f ca="1">DATEDIF(E33, TODAY(), "Y")</f>
        <v>5</v>
      </c>
      <c r="H33" s="7">
        <f ca="1">INDEX(Table2[Vacation Days],MATCH(Table1[[#This Row],[Total Years]],Table2[Years],0))</f>
        <v>20</v>
      </c>
      <c r="I33" s="3"/>
    </row>
    <row r="34" spans="1:9" ht="19.2" x14ac:dyDescent="0.3">
      <c r="A34" s="22">
        <v>134</v>
      </c>
      <c r="B34" s="4" t="s">
        <v>157</v>
      </c>
      <c r="C34" s="5" t="s">
        <v>126</v>
      </c>
      <c r="D34" s="6" t="s">
        <v>139</v>
      </c>
      <c r="E34" s="6">
        <v>44410</v>
      </c>
      <c r="F34" s="5" t="s">
        <v>13</v>
      </c>
      <c r="G34" s="5">
        <f ca="1">DATEDIF(E34, TODAY(), "Y")</f>
        <v>5</v>
      </c>
      <c r="H34" s="5">
        <f ca="1">INDEX(Table2[Vacation Days],MATCH(Table1[[#This Row],[Total Years]],Table2[Years],0))</f>
        <v>20</v>
      </c>
      <c r="I34" s="3"/>
    </row>
    <row r="35" spans="1:9" ht="19.2" x14ac:dyDescent="0.3">
      <c r="A35" s="22">
        <v>135</v>
      </c>
      <c r="B35" s="4" t="s">
        <v>223</v>
      </c>
      <c r="C35" s="5" t="s">
        <v>224</v>
      </c>
      <c r="D35" s="6" t="s">
        <v>225</v>
      </c>
      <c r="E35" s="6">
        <v>44204</v>
      </c>
      <c r="F35" s="5" t="s">
        <v>27</v>
      </c>
      <c r="G35" s="5">
        <f ca="1">DATEDIF(E35, TODAY(), "Y")</f>
        <v>5</v>
      </c>
      <c r="H35" s="5">
        <f ca="1">INDEX(Table2[Vacation Days],MATCH(Table1[[#This Row],[Total Years]],Table2[Years],0))</f>
        <v>20</v>
      </c>
      <c r="I35" s="3"/>
    </row>
    <row r="36" spans="1:9" ht="19.2" x14ac:dyDescent="0.3">
      <c r="A36" s="22">
        <v>138</v>
      </c>
      <c r="B36" s="4" t="s">
        <v>44</v>
      </c>
      <c r="C36" s="5" t="s">
        <v>8</v>
      </c>
      <c r="D36" s="5" t="s">
        <v>9</v>
      </c>
      <c r="E36" s="6">
        <v>44409</v>
      </c>
      <c r="F36" s="5" t="s">
        <v>27</v>
      </c>
      <c r="G36" s="5">
        <f ca="1">DATEDIF(E36, TODAY(), "Y")</f>
        <v>5</v>
      </c>
      <c r="H36" s="7">
        <f ca="1">INDEX(Table2[Vacation Days],MATCH(Table1[[#This Row],[Total Years]],Table2[Years],0))</f>
        <v>20</v>
      </c>
      <c r="I36" s="3"/>
    </row>
    <row r="37" spans="1:9" ht="19.2" x14ac:dyDescent="0.3">
      <c r="A37" s="22">
        <v>139</v>
      </c>
      <c r="B37" s="4" t="s">
        <v>45</v>
      </c>
      <c r="C37" s="5" t="s">
        <v>46</v>
      </c>
      <c r="D37" s="5" t="s">
        <v>9</v>
      </c>
      <c r="E37" s="6">
        <v>44409</v>
      </c>
      <c r="F37" s="5" t="s">
        <v>13</v>
      </c>
      <c r="G37" s="5">
        <f ca="1">DATEDIF(E37, TODAY(), "Y")</f>
        <v>5</v>
      </c>
      <c r="H37" s="7">
        <f ca="1">INDEX(Table2[Vacation Days],MATCH(Table1[[#This Row],[Total Years]],Table2[Years],0))</f>
        <v>20</v>
      </c>
      <c r="I37" s="3"/>
    </row>
    <row r="38" spans="1:9" ht="19.2" x14ac:dyDescent="0.3">
      <c r="A38" s="22">
        <v>145</v>
      </c>
      <c r="B38" s="14" t="s">
        <v>226</v>
      </c>
      <c r="C38" s="5" t="s">
        <v>227</v>
      </c>
      <c r="D38" s="6" t="s">
        <v>225</v>
      </c>
      <c r="E38" s="6">
        <v>44356</v>
      </c>
      <c r="F38" s="5" t="s">
        <v>15</v>
      </c>
      <c r="G38" s="5">
        <f ca="1">DATEDIF(E38, TODAY(), "Y")</f>
        <v>5</v>
      </c>
      <c r="H38" s="5">
        <f ca="1">INDEX(Table2[Vacation Days],MATCH(Table1[[#This Row],[Total Years]],Table2[Years],0))</f>
        <v>20</v>
      </c>
      <c r="I38" s="3"/>
    </row>
    <row r="39" spans="1:9" ht="19.2" x14ac:dyDescent="0.3">
      <c r="A39" s="22">
        <v>152</v>
      </c>
      <c r="B39" s="4" t="s">
        <v>47</v>
      </c>
      <c r="C39" s="5" t="s">
        <v>17</v>
      </c>
      <c r="D39" s="5" t="s">
        <v>9</v>
      </c>
      <c r="E39" s="6">
        <v>44440</v>
      </c>
      <c r="F39" s="5" t="s">
        <v>27</v>
      </c>
      <c r="G39" s="5">
        <f ca="1">DATEDIF(E39, TODAY(), "Y")</f>
        <v>4</v>
      </c>
      <c r="H39" s="7">
        <f ca="1">INDEX(Table2[Vacation Days],MATCH(Table1[[#This Row],[Total Years]],Table2[Years],0))</f>
        <v>18</v>
      </c>
      <c r="I39" s="3"/>
    </row>
    <row r="40" spans="1:9" ht="19.2" x14ac:dyDescent="0.3">
      <c r="A40" s="22">
        <v>153</v>
      </c>
      <c r="B40" s="4" t="s">
        <v>48</v>
      </c>
      <c r="C40" s="5" t="s">
        <v>17</v>
      </c>
      <c r="D40" s="5" t="s">
        <v>9</v>
      </c>
      <c r="E40" s="6">
        <v>44440</v>
      </c>
      <c r="F40" s="5" t="s">
        <v>27</v>
      </c>
      <c r="G40" s="5">
        <f ca="1">DATEDIF(E40, TODAY(), "Y")</f>
        <v>4</v>
      </c>
      <c r="H40" s="7">
        <f ca="1">INDEX(Table2[Vacation Days],MATCH(Table1[[#This Row],[Total Years]],Table2[Years],0))</f>
        <v>18</v>
      </c>
      <c r="I40" s="3"/>
    </row>
    <row r="41" spans="1:9" ht="19.2" x14ac:dyDescent="0.3">
      <c r="A41" s="22">
        <v>153</v>
      </c>
      <c r="B41" s="4" t="s">
        <v>50</v>
      </c>
      <c r="C41" s="5" t="s">
        <v>31</v>
      </c>
      <c r="D41" s="5" t="s">
        <v>9</v>
      </c>
      <c r="E41" s="6">
        <v>44501</v>
      </c>
      <c r="F41" s="5" t="s">
        <v>10</v>
      </c>
      <c r="G41" s="5">
        <f ca="1">DATEDIF(E41, TODAY(), "Y")</f>
        <v>4</v>
      </c>
      <c r="H41" s="7">
        <f ca="1">INDEX(Table2[Vacation Days],MATCH(Table1[[#This Row],[Total Years]],Table2[Years],0))</f>
        <v>18</v>
      </c>
      <c r="I41" s="3"/>
    </row>
    <row r="42" spans="1:9" ht="19.2" x14ac:dyDescent="0.3">
      <c r="A42" s="22">
        <v>155</v>
      </c>
      <c r="B42" s="14" t="s">
        <v>239</v>
      </c>
      <c r="C42" s="5" t="s">
        <v>240</v>
      </c>
      <c r="D42" s="6" t="s">
        <v>225</v>
      </c>
      <c r="E42" s="6">
        <v>44457</v>
      </c>
      <c r="F42" s="5" t="s">
        <v>13</v>
      </c>
      <c r="G42" s="5">
        <f ca="1">DATEDIF(E42, TODAY(), "Y")</f>
        <v>4</v>
      </c>
      <c r="H42" s="5">
        <f ca="1">INDEX(Table2[Vacation Days],MATCH(Table1[[#This Row],[Total Years]],Table2[Years],0))</f>
        <v>18</v>
      </c>
      <c r="I42" s="3"/>
    </row>
    <row r="43" spans="1:9" ht="19.2" x14ac:dyDescent="0.3">
      <c r="A43" s="22">
        <v>159</v>
      </c>
      <c r="B43" s="4" t="s">
        <v>230</v>
      </c>
      <c r="C43" s="5" t="s">
        <v>17</v>
      </c>
      <c r="D43" s="6" t="s">
        <v>225</v>
      </c>
      <c r="E43" s="6">
        <v>44359</v>
      </c>
      <c r="F43" s="5" t="s">
        <v>27</v>
      </c>
      <c r="G43" s="5">
        <f ca="1">DATEDIF(E43, TODAY(), "Y")</f>
        <v>5</v>
      </c>
      <c r="H43" s="5">
        <f ca="1">INDEX(Table2[Vacation Days],MATCH(Table1[[#This Row],[Total Years]],Table2[Years],0))</f>
        <v>20</v>
      </c>
      <c r="I43" s="3"/>
    </row>
    <row r="44" spans="1:9" ht="19.2" x14ac:dyDescent="0.3">
      <c r="A44" s="22">
        <v>161</v>
      </c>
      <c r="B44" s="4" t="s">
        <v>35</v>
      </c>
      <c r="C44" s="5" t="s">
        <v>31</v>
      </c>
      <c r="D44" s="5" t="s">
        <v>34</v>
      </c>
      <c r="E44" s="6">
        <v>44197</v>
      </c>
      <c r="F44" s="5" t="s">
        <v>10</v>
      </c>
      <c r="G44" s="5">
        <f ca="1">DATEDIF(E44, TODAY(), "Y")</f>
        <v>5</v>
      </c>
      <c r="H44" s="7">
        <f ca="1">INDEX(Table2[Vacation Days],MATCH(Table1[[#This Row],[Total Years]],Table2[Years],0))</f>
        <v>20</v>
      </c>
      <c r="I44" s="3"/>
    </row>
    <row r="45" spans="1:9" ht="19.2" x14ac:dyDescent="0.3">
      <c r="A45" s="22">
        <v>162</v>
      </c>
      <c r="B45" s="5" t="s">
        <v>49</v>
      </c>
      <c r="C45" s="5" t="s">
        <v>31</v>
      </c>
      <c r="D45" s="5" t="s">
        <v>34</v>
      </c>
      <c r="E45" s="6">
        <v>44409</v>
      </c>
      <c r="F45" s="5" t="s">
        <v>10</v>
      </c>
      <c r="G45" s="5">
        <f ca="1">DATEDIF(E45, TODAY(), "Y")</f>
        <v>5</v>
      </c>
      <c r="H45" s="7">
        <f ca="1">INDEX(Table2[Vacation Days],MATCH(Table1[[#This Row],[Total Years]],Table2[Years],0))</f>
        <v>20</v>
      </c>
      <c r="I45" s="3"/>
    </row>
    <row r="46" spans="1:9" ht="19.2" x14ac:dyDescent="0.3">
      <c r="A46" s="22">
        <v>164</v>
      </c>
      <c r="B46" s="14" t="s">
        <v>250</v>
      </c>
      <c r="C46" s="5" t="s">
        <v>31</v>
      </c>
      <c r="D46" s="6" t="s">
        <v>225</v>
      </c>
      <c r="E46" s="6">
        <v>44357</v>
      </c>
      <c r="F46" s="5" t="s">
        <v>10</v>
      </c>
      <c r="G46" s="5">
        <f ca="1">DATEDIF(E46, TODAY(), "Y")</f>
        <v>5</v>
      </c>
      <c r="H46" s="5">
        <f ca="1">INDEX(Table2[Vacation Days],MATCH(Table1[[#This Row],[Total Years]],Table2[Years],0))</f>
        <v>20</v>
      </c>
      <c r="I46" s="3"/>
    </row>
    <row r="47" spans="1:9" ht="19.2" x14ac:dyDescent="0.3">
      <c r="A47" s="22">
        <v>171</v>
      </c>
      <c r="B47" s="14" t="s">
        <v>243</v>
      </c>
      <c r="C47" s="5" t="s">
        <v>31</v>
      </c>
      <c r="D47" s="6" t="s">
        <v>225</v>
      </c>
      <c r="E47" s="6">
        <v>44744</v>
      </c>
      <c r="F47" s="5" t="s">
        <v>10</v>
      </c>
      <c r="G47" s="5">
        <f ca="1">DATEDIF(E47, TODAY(), "Y")</f>
        <v>4</v>
      </c>
      <c r="H47" s="5">
        <f ca="1">INDEX(Table2[Vacation Days],MATCH(Table1[[#This Row],[Total Years]],Table2[Years],0))</f>
        <v>18</v>
      </c>
      <c r="I47" s="3"/>
    </row>
    <row r="48" spans="1:9" ht="19.2" x14ac:dyDescent="0.3">
      <c r="A48" s="22">
        <v>173</v>
      </c>
      <c r="B48" s="14" t="s">
        <v>231</v>
      </c>
      <c r="C48" s="5" t="s">
        <v>17</v>
      </c>
      <c r="D48" s="6" t="s">
        <v>225</v>
      </c>
      <c r="E48" s="6">
        <v>44634</v>
      </c>
      <c r="F48" s="5" t="s">
        <v>27</v>
      </c>
      <c r="G48" s="5">
        <f ca="1">DATEDIF(E48, TODAY(), "Y")</f>
        <v>4</v>
      </c>
      <c r="H48" s="5">
        <f ca="1">INDEX(Table2[Vacation Days],MATCH(Table1[[#This Row],[Total Years]],Table2[Years],0))</f>
        <v>18</v>
      </c>
      <c r="I48" s="3"/>
    </row>
    <row r="49" spans="1:9" ht="19.2" x14ac:dyDescent="0.3">
      <c r="A49" s="22">
        <v>177</v>
      </c>
      <c r="B49" s="14" t="s">
        <v>158</v>
      </c>
      <c r="C49" s="5" t="s">
        <v>8</v>
      </c>
      <c r="D49" s="6" t="s">
        <v>139</v>
      </c>
      <c r="E49" s="6">
        <v>44682</v>
      </c>
      <c r="F49" s="5" t="s">
        <v>55</v>
      </c>
      <c r="G49" s="5">
        <f ca="1">DATEDIF(E49, TODAY(), "Y")</f>
        <v>4</v>
      </c>
      <c r="H49" s="5">
        <f ca="1">INDEX(Table2[Vacation Days],MATCH(Table1[[#This Row],[Total Years]],Table2[Years],0))</f>
        <v>18</v>
      </c>
      <c r="I49" s="3"/>
    </row>
    <row r="50" spans="1:9" ht="19.2" x14ac:dyDescent="0.3">
      <c r="A50" s="22">
        <v>178</v>
      </c>
      <c r="B50" s="4" t="s">
        <v>159</v>
      </c>
      <c r="C50" s="5" t="s">
        <v>151</v>
      </c>
      <c r="D50" s="6" t="s">
        <v>139</v>
      </c>
      <c r="E50" s="6">
        <v>44682</v>
      </c>
      <c r="F50" s="5" t="s">
        <v>55</v>
      </c>
      <c r="G50" s="5">
        <f ca="1">DATEDIF(E50, TODAY(), "Y")</f>
        <v>4</v>
      </c>
      <c r="H50" s="5">
        <f ca="1">INDEX(Table2[Vacation Days],MATCH(Table1[[#This Row],[Total Years]],Table2[Years],0))</f>
        <v>18</v>
      </c>
      <c r="I50" s="3"/>
    </row>
    <row r="51" spans="1:9" ht="19.2" x14ac:dyDescent="0.3">
      <c r="A51" s="22">
        <v>179</v>
      </c>
      <c r="B51" s="4" t="s">
        <v>52</v>
      </c>
      <c r="C51" s="5" t="s">
        <v>17</v>
      </c>
      <c r="D51" s="5" t="s">
        <v>9</v>
      </c>
      <c r="E51" s="6">
        <v>44927</v>
      </c>
      <c r="F51" s="5" t="s">
        <v>27</v>
      </c>
      <c r="G51" s="5">
        <f ca="1">DATEDIF(E51, TODAY(), "Y")</f>
        <v>3</v>
      </c>
      <c r="H51" s="7">
        <f ca="1">INDEX(Table2[Vacation Days],MATCH(Table1[[#This Row],[Total Years]],Table2[Years],0))</f>
        <v>18</v>
      </c>
      <c r="I51" s="3"/>
    </row>
    <row r="52" spans="1:9" ht="19.2" x14ac:dyDescent="0.3">
      <c r="A52" s="22">
        <v>180</v>
      </c>
      <c r="B52" s="14" t="s">
        <v>160</v>
      </c>
      <c r="C52" s="5" t="s">
        <v>79</v>
      </c>
      <c r="D52" s="6" t="s">
        <v>139</v>
      </c>
      <c r="E52" s="6">
        <v>44694</v>
      </c>
      <c r="F52" s="5" t="s">
        <v>55</v>
      </c>
      <c r="G52" s="5">
        <f ca="1">DATEDIF(E52, TODAY(), "Y")</f>
        <v>4</v>
      </c>
      <c r="H52" s="5">
        <f ca="1">INDEX(Table2[Vacation Days],MATCH(Table1[[#This Row],[Total Years]],Table2[Years],0))</f>
        <v>18</v>
      </c>
      <c r="I52" s="3"/>
    </row>
    <row r="53" spans="1:9" ht="19.2" x14ac:dyDescent="0.3">
      <c r="A53" s="22">
        <v>183</v>
      </c>
      <c r="B53" s="4" t="s">
        <v>161</v>
      </c>
      <c r="C53" s="5" t="s">
        <v>162</v>
      </c>
      <c r="D53" s="6" t="s">
        <v>139</v>
      </c>
      <c r="E53" s="6">
        <v>44677</v>
      </c>
      <c r="F53" s="5" t="s">
        <v>13</v>
      </c>
      <c r="G53" s="5">
        <f ca="1">DATEDIF(E53, TODAY(), "Y")</f>
        <v>4</v>
      </c>
      <c r="H53" s="5">
        <f ca="1">INDEX(Table2[Vacation Days],MATCH(Table1[[#This Row],[Total Years]],Table2[Years],0))</f>
        <v>18</v>
      </c>
      <c r="I53" s="3"/>
    </row>
    <row r="54" spans="1:9" ht="19.2" x14ac:dyDescent="0.3">
      <c r="A54" s="22">
        <v>186</v>
      </c>
      <c r="B54" s="14" t="s">
        <v>163</v>
      </c>
      <c r="C54" s="5" t="s">
        <v>31</v>
      </c>
      <c r="D54" s="6" t="s">
        <v>139</v>
      </c>
      <c r="E54" s="6">
        <v>44741</v>
      </c>
      <c r="F54" s="5" t="s">
        <v>15</v>
      </c>
      <c r="G54" s="5">
        <f ca="1">DATEDIF(E54, TODAY(), "Y")</f>
        <v>4</v>
      </c>
      <c r="H54" s="5">
        <f ca="1">INDEX(Table2[Vacation Days],MATCH(Table1[[#This Row],[Total Years]],Table2[Years],0))</f>
        <v>18</v>
      </c>
      <c r="I54" s="3"/>
    </row>
    <row r="55" spans="1:9" ht="19.2" x14ac:dyDescent="0.3">
      <c r="A55" s="22">
        <v>188</v>
      </c>
      <c r="B55" s="4" t="s">
        <v>53</v>
      </c>
      <c r="C55" s="5" t="s">
        <v>54</v>
      </c>
      <c r="D55" s="5" t="s">
        <v>9</v>
      </c>
      <c r="E55" s="6">
        <v>44743</v>
      </c>
      <c r="F55" s="5" t="s">
        <v>55</v>
      </c>
      <c r="G55" s="5">
        <f ca="1">DATEDIF(E55, TODAY(), "Y")</f>
        <v>4</v>
      </c>
      <c r="H55" s="7">
        <f ca="1">INDEX(Table2[Vacation Days],MATCH(Table1[[#This Row],[Total Years]],Table2[Years],0))</f>
        <v>18</v>
      </c>
      <c r="I55" s="3"/>
    </row>
    <row r="56" spans="1:9" ht="19.2" x14ac:dyDescent="0.3">
      <c r="A56" s="22">
        <v>192</v>
      </c>
      <c r="B56" s="4" t="s">
        <v>56</v>
      </c>
      <c r="C56" s="5" t="s">
        <v>57</v>
      </c>
      <c r="D56" s="5" t="s">
        <v>9</v>
      </c>
      <c r="E56" s="6">
        <v>44743</v>
      </c>
      <c r="F56" s="5" t="s">
        <v>13</v>
      </c>
      <c r="G56" s="5">
        <f ca="1">DATEDIF(E56, TODAY(), "Y")</f>
        <v>4</v>
      </c>
      <c r="H56" s="7">
        <f ca="1">INDEX(Table2[Vacation Days],MATCH(Table1[[#This Row],[Total Years]],Table2[Years],0))</f>
        <v>18</v>
      </c>
      <c r="I56" s="3"/>
    </row>
    <row r="57" spans="1:9" ht="19.2" x14ac:dyDescent="0.3">
      <c r="A57" s="22">
        <v>197</v>
      </c>
      <c r="B57" s="4" t="s">
        <v>58</v>
      </c>
      <c r="C57" s="5" t="s">
        <v>31</v>
      </c>
      <c r="D57" s="5" t="s">
        <v>9</v>
      </c>
      <c r="E57" s="6">
        <v>44796</v>
      </c>
      <c r="F57" s="5" t="s">
        <v>55</v>
      </c>
      <c r="G57" s="5">
        <f ca="1">DATEDIF(E57, TODAY(), "Y")</f>
        <v>4</v>
      </c>
      <c r="H57" s="7">
        <f ca="1">INDEX(Table2[Vacation Days],MATCH(Table1[[#This Row],[Total Years]],Table2[Years],0))</f>
        <v>18</v>
      </c>
      <c r="I57" s="3"/>
    </row>
    <row r="58" spans="1:9" ht="19.2" x14ac:dyDescent="0.3">
      <c r="A58" s="22">
        <v>204</v>
      </c>
      <c r="B58" s="4" t="s">
        <v>164</v>
      </c>
      <c r="C58" s="5" t="s">
        <v>91</v>
      </c>
      <c r="D58" s="6" t="s">
        <v>139</v>
      </c>
      <c r="E58" s="6">
        <v>44835</v>
      </c>
      <c r="F58" s="5" t="s">
        <v>13</v>
      </c>
      <c r="G58" s="5">
        <f ca="1">DATEDIF(E58, TODAY(), "Y")</f>
        <v>3</v>
      </c>
      <c r="H58" s="5">
        <f ca="1">INDEX(Table2[Vacation Days],MATCH(Table1[[#This Row],[Total Years]],Table2[Years],0))</f>
        <v>18</v>
      </c>
      <c r="I58" s="3"/>
    </row>
    <row r="59" spans="1:9" ht="19.2" x14ac:dyDescent="0.3">
      <c r="A59" s="22">
        <v>205</v>
      </c>
      <c r="B59" s="4" t="s">
        <v>234</v>
      </c>
      <c r="C59" s="5" t="s">
        <v>91</v>
      </c>
      <c r="D59" s="6" t="s">
        <v>225</v>
      </c>
      <c r="E59" s="6">
        <v>44824</v>
      </c>
      <c r="F59" s="5" t="s">
        <v>13</v>
      </c>
      <c r="G59" s="5">
        <f ca="1">DATEDIF(E59, TODAY(), "Y")</f>
        <v>3</v>
      </c>
      <c r="H59" s="5">
        <f ca="1">INDEX(Table2[Vacation Days],MATCH(Table1[[#This Row],[Total Years]],Table2[Years],0))</f>
        <v>18</v>
      </c>
      <c r="I59" s="3"/>
    </row>
    <row r="60" spans="1:9" ht="19.2" x14ac:dyDescent="0.3">
      <c r="A60" s="22">
        <v>209</v>
      </c>
      <c r="B60" s="4" t="s">
        <v>59</v>
      </c>
      <c r="C60" s="5" t="s">
        <v>37</v>
      </c>
      <c r="D60" s="5" t="s">
        <v>9</v>
      </c>
      <c r="E60" s="6">
        <v>44881</v>
      </c>
      <c r="F60" s="5" t="s">
        <v>13</v>
      </c>
      <c r="G60" s="5">
        <f ca="1">DATEDIF(E60, TODAY(), "Y")</f>
        <v>3</v>
      </c>
      <c r="H60" s="7">
        <f ca="1">INDEX(Table2[Vacation Days],MATCH(Table1[[#This Row],[Total Years]],Table2[Years],0))</f>
        <v>18</v>
      </c>
      <c r="I60" s="3"/>
    </row>
    <row r="61" spans="1:9" ht="19.2" x14ac:dyDescent="0.3">
      <c r="A61" s="22">
        <v>210</v>
      </c>
      <c r="B61" s="4" t="s">
        <v>247</v>
      </c>
      <c r="C61" s="5" t="s">
        <v>41</v>
      </c>
      <c r="D61" s="6" t="s">
        <v>225</v>
      </c>
      <c r="E61" s="6">
        <v>45305</v>
      </c>
      <c r="F61" s="5" t="s">
        <v>10</v>
      </c>
      <c r="G61" s="5">
        <f ca="1">DATEDIF(E61, TODAY(), "Y")</f>
        <v>2</v>
      </c>
      <c r="H61" s="5">
        <f ca="1">INDEX(Table2[Vacation Days],MATCH(Table1[[#This Row],[Total Years]],Table2[Years],0))</f>
        <v>14</v>
      </c>
      <c r="I61" s="3"/>
    </row>
    <row r="62" spans="1:9" ht="19.2" x14ac:dyDescent="0.3">
      <c r="A62" s="22">
        <v>211</v>
      </c>
      <c r="B62" s="14" t="s">
        <v>248</v>
      </c>
      <c r="C62" s="5" t="s">
        <v>41</v>
      </c>
      <c r="D62" s="6" t="s">
        <v>225</v>
      </c>
      <c r="E62" s="6">
        <v>44582</v>
      </c>
      <c r="F62" s="5" t="s">
        <v>10</v>
      </c>
      <c r="G62" s="5">
        <f ca="1">DATEDIF(E62, TODAY(), "Y")</f>
        <v>4</v>
      </c>
      <c r="H62" s="5">
        <f ca="1">INDEX(Table2[Vacation Days],MATCH(Table1[[#This Row],[Total Years]],Table2[Years],0))</f>
        <v>18</v>
      </c>
      <c r="I62" s="3"/>
    </row>
    <row r="63" spans="1:9" ht="19.2" x14ac:dyDescent="0.3">
      <c r="A63" s="22">
        <v>213</v>
      </c>
      <c r="B63" s="4" t="s">
        <v>67</v>
      </c>
      <c r="C63" s="5" t="s">
        <v>8</v>
      </c>
      <c r="D63" s="5" t="s">
        <v>9</v>
      </c>
      <c r="E63" s="6">
        <v>45017</v>
      </c>
      <c r="F63" s="5" t="s">
        <v>15</v>
      </c>
      <c r="G63" s="5">
        <f ca="1">DATEDIF(E63, TODAY(), "Y")</f>
        <v>3</v>
      </c>
      <c r="H63" s="7">
        <f ca="1">INDEX(Table2[Vacation Days],MATCH(Table1[[#This Row],[Total Years]],Table2[Years],0))</f>
        <v>18</v>
      </c>
      <c r="I63" s="3"/>
    </row>
    <row r="64" spans="1:9" ht="19.2" x14ac:dyDescent="0.3">
      <c r="A64" s="22">
        <v>214</v>
      </c>
      <c r="B64" s="4" t="s">
        <v>60</v>
      </c>
      <c r="C64" s="5" t="s">
        <v>31</v>
      </c>
      <c r="D64" s="5" t="s">
        <v>9</v>
      </c>
      <c r="E64" s="9">
        <v>44958</v>
      </c>
      <c r="F64" s="5" t="s">
        <v>10</v>
      </c>
      <c r="G64" s="5">
        <f ca="1">DATEDIF(E64, TODAY(), "Y")</f>
        <v>3</v>
      </c>
      <c r="H64" s="7">
        <f ca="1">INDEX(Table2[Vacation Days],MATCH(Table1[[#This Row],[Total Years]],Table2[Years],0))</f>
        <v>18</v>
      </c>
      <c r="I64" s="3"/>
    </row>
    <row r="65" spans="1:9" ht="19.2" x14ac:dyDescent="0.3">
      <c r="A65" s="22">
        <v>215</v>
      </c>
      <c r="B65" s="4" t="s">
        <v>61</v>
      </c>
      <c r="C65" s="5" t="s">
        <v>31</v>
      </c>
      <c r="D65" s="5" t="s">
        <v>34</v>
      </c>
      <c r="E65" s="9">
        <v>44958</v>
      </c>
      <c r="F65" s="5" t="s">
        <v>10</v>
      </c>
      <c r="G65" s="5">
        <f ca="1">DATEDIF(E65, TODAY(), "Y")</f>
        <v>3</v>
      </c>
      <c r="H65" s="7">
        <f ca="1">INDEX(Table2[Vacation Days],MATCH(Table1[[#This Row],[Total Years]],Table2[Years],0))</f>
        <v>18</v>
      </c>
      <c r="I65" s="3"/>
    </row>
    <row r="66" spans="1:9" ht="144" x14ac:dyDescent="0.3">
      <c r="A66" s="22">
        <v>220</v>
      </c>
      <c r="B66" s="4" t="s">
        <v>14</v>
      </c>
      <c r="C66" s="5" t="s">
        <v>8</v>
      </c>
      <c r="D66" s="5" t="s">
        <v>9</v>
      </c>
      <c r="E66" s="6">
        <v>43798</v>
      </c>
      <c r="F66" s="5" t="s">
        <v>15</v>
      </c>
      <c r="G66" s="5">
        <f ca="1">DATEDIF(E66, TODAY(), "Y")</f>
        <v>6</v>
      </c>
      <c r="H66" s="7">
        <f ca="1">INDEX(Table2[Vacation Days],MATCH(Table1[[#This Row],[Total Years]],Table2[Years],0))</f>
        <v>22</v>
      </c>
      <c r="I66" s="19" t="s">
        <v>257</v>
      </c>
    </row>
    <row r="67" spans="1:9" ht="19.2" x14ac:dyDescent="0.3">
      <c r="A67" s="22">
        <v>222</v>
      </c>
      <c r="B67" s="14" t="s">
        <v>233</v>
      </c>
      <c r="C67" s="5" t="s">
        <v>22</v>
      </c>
      <c r="D67" s="6" t="s">
        <v>225</v>
      </c>
      <c r="E67" s="6">
        <v>44962</v>
      </c>
      <c r="F67" s="5" t="s">
        <v>13</v>
      </c>
      <c r="G67" s="5">
        <f ca="1">DATEDIF(E67, TODAY(), "Y")</f>
        <v>3</v>
      </c>
      <c r="H67" s="5">
        <f ca="1">INDEX(Table2[Vacation Days],MATCH(Table1[[#This Row],[Total Years]],Table2[Years],0))</f>
        <v>18</v>
      </c>
      <c r="I67" s="3"/>
    </row>
    <row r="68" spans="1:9" ht="19.2" x14ac:dyDescent="0.3">
      <c r="A68" s="22">
        <v>239</v>
      </c>
      <c r="B68" s="25" t="s">
        <v>181</v>
      </c>
      <c r="C68" s="5" t="s">
        <v>128</v>
      </c>
      <c r="D68" s="6" t="s">
        <v>139</v>
      </c>
      <c r="E68" s="6">
        <v>45005</v>
      </c>
      <c r="F68" s="5" t="s">
        <v>55</v>
      </c>
      <c r="G68" s="5">
        <f ca="1">DATEDIF(E68, TODAY(), "Y")</f>
        <v>3</v>
      </c>
      <c r="H68" s="5">
        <f ca="1">INDEX(Table2[Vacation Days],MATCH(Table1[[#This Row],[Total Years]],Table2[Years],0))</f>
        <v>18</v>
      </c>
      <c r="I68" s="3"/>
    </row>
    <row r="69" spans="1:9" ht="19.2" x14ac:dyDescent="0.3">
      <c r="A69" s="22">
        <v>243</v>
      </c>
      <c r="B69" s="4" t="s">
        <v>182</v>
      </c>
      <c r="C69" s="5" t="s">
        <v>65</v>
      </c>
      <c r="D69" s="6" t="s">
        <v>139</v>
      </c>
      <c r="E69" s="6">
        <v>44713</v>
      </c>
      <c r="F69" s="5" t="s">
        <v>55</v>
      </c>
      <c r="G69" s="5">
        <f ca="1">DATEDIF(E69, TODAY(), "Y")</f>
        <v>4</v>
      </c>
      <c r="H69" s="5">
        <f ca="1">INDEX(Table2[Vacation Days],MATCH(Table1[[#This Row],[Total Years]],Table2[Years],0))</f>
        <v>18</v>
      </c>
      <c r="I69" s="3"/>
    </row>
    <row r="70" spans="1:9" ht="19.2" x14ac:dyDescent="0.3">
      <c r="A70" s="22">
        <v>244</v>
      </c>
      <c r="B70" s="4" t="s">
        <v>62</v>
      </c>
      <c r="C70" s="5" t="s">
        <v>63</v>
      </c>
      <c r="D70" s="5" t="s">
        <v>9</v>
      </c>
      <c r="E70" s="6">
        <v>44774</v>
      </c>
      <c r="F70" s="5" t="s">
        <v>55</v>
      </c>
      <c r="G70" s="5">
        <f ca="1">DATEDIF(E70, TODAY(), "Y")</f>
        <v>4</v>
      </c>
      <c r="H70" s="7">
        <f ca="1">INDEX(Table2[Vacation Days],MATCH(Table1[[#This Row],[Total Years]],Table2[Years],0))</f>
        <v>18</v>
      </c>
      <c r="I70" s="3"/>
    </row>
    <row r="71" spans="1:9" ht="19.2" x14ac:dyDescent="0.3">
      <c r="A71" s="22">
        <v>247</v>
      </c>
      <c r="B71" s="4" t="s">
        <v>64</v>
      </c>
      <c r="C71" s="5" t="s">
        <v>65</v>
      </c>
      <c r="D71" s="5" t="s">
        <v>9</v>
      </c>
      <c r="E71" s="6">
        <v>44774</v>
      </c>
      <c r="F71" s="5" t="s">
        <v>55</v>
      </c>
      <c r="G71" s="5">
        <f ca="1">DATEDIF(E71, TODAY(), "Y")</f>
        <v>4</v>
      </c>
      <c r="H71" s="7">
        <f ca="1">INDEX(Table2[Vacation Days],MATCH(Table1[[#This Row],[Total Years]],Table2[Years],0))</f>
        <v>18</v>
      </c>
      <c r="I71" s="3"/>
    </row>
    <row r="72" spans="1:9" ht="19.2" x14ac:dyDescent="0.3">
      <c r="A72" s="22">
        <v>248</v>
      </c>
      <c r="B72" s="4" t="s">
        <v>66</v>
      </c>
      <c r="C72" s="5" t="s">
        <v>65</v>
      </c>
      <c r="D72" s="5" t="s">
        <v>9</v>
      </c>
      <c r="E72" s="6">
        <v>44774</v>
      </c>
      <c r="F72" s="5" t="s">
        <v>55</v>
      </c>
      <c r="G72" s="5">
        <f ca="1">DATEDIF(E72, TODAY(), "Y")</f>
        <v>4</v>
      </c>
      <c r="H72" s="7">
        <f ca="1">INDEX(Table2[Vacation Days],MATCH(Table1[[#This Row],[Total Years]],Table2[Years],0))</f>
        <v>18</v>
      </c>
      <c r="I72" s="3"/>
    </row>
    <row r="73" spans="1:9" ht="19.2" x14ac:dyDescent="0.3">
      <c r="A73" s="22">
        <v>251</v>
      </c>
      <c r="B73" s="4" t="s">
        <v>180</v>
      </c>
      <c r="C73" s="5" t="s">
        <v>151</v>
      </c>
      <c r="D73" s="6" t="s">
        <v>139</v>
      </c>
      <c r="E73" s="6">
        <v>44774</v>
      </c>
      <c r="F73" s="5" t="s">
        <v>15</v>
      </c>
      <c r="G73" s="5">
        <f ca="1">DATEDIF(E73, TODAY(), "Y")</f>
        <v>4</v>
      </c>
      <c r="H73" s="5">
        <f ca="1">INDEX(Table2[Vacation Days],MATCH(Table1[[#This Row],[Total Years]],Table2[Years],0))</f>
        <v>18</v>
      </c>
      <c r="I73" s="3"/>
    </row>
    <row r="74" spans="1:9" ht="19.2" x14ac:dyDescent="0.3">
      <c r="A74" s="22">
        <v>252</v>
      </c>
      <c r="B74" s="14" t="s">
        <v>165</v>
      </c>
      <c r="C74" s="5" t="s">
        <v>166</v>
      </c>
      <c r="D74" s="6" t="s">
        <v>139</v>
      </c>
      <c r="E74" s="6">
        <v>45077</v>
      </c>
      <c r="F74" s="5" t="s">
        <v>13</v>
      </c>
      <c r="G74" s="5">
        <f ca="1">DATEDIF(E74, TODAY(), "Y")</f>
        <v>3</v>
      </c>
      <c r="H74" s="5">
        <f ca="1">INDEX(Table2[Vacation Days],MATCH(Table1[[#This Row],[Total Years]],Table2[Years],0))</f>
        <v>18</v>
      </c>
      <c r="I74" s="10" t="s">
        <v>259</v>
      </c>
    </row>
    <row r="75" spans="1:9" ht="19.2" x14ac:dyDescent="0.3">
      <c r="A75" s="22">
        <v>253</v>
      </c>
      <c r="B75" s="4" t="s">
        <v>167</v>
      </c>
      <c r="C75" s="5" t="s">
        <v>168</v>
      </c>
      <c r="D75" s="6" t="s">
        <v>139</v>
      </c>
      <c r="E75" s="6">
        <v>45077</v>
      </c>
      <c r="F75" s="5" t="s">
        <v>13</v>
      </c>
      <c r="G75" s="5">
        <f ca="1">DATEDIF(E75, TODAY(), "Y")</f>
        <v>3</v>
      </c>
      <c r="H75" s="5">
        <f ca="1">INDEX(Table2[Vacation Days],MATCH(Table1[[#This Row],[Total Years]],Table2[Years],0))</f>
        <v>18</v>
      </c>
      <c r="I75" s="3"/>
    </row>
    <row r="76" spans="1:9" ht="19.2" x14ac:dyDescent="0.3">
      <c r="A76" s="22">
        <v>256</v>
      </c>
      <c r="B76" s="4" t="s">
        <v>68</v>
      </c>
      <c r="C76" s="5" t="s">
        <v>41</v>
      </c>
      <c r="D76" s="5" t="s">
        <v>34</v>
      </c>
      <c r="E76" s="6">
        <v>44986</v>
      </c>
      <c r="F76" s="5" t="s">
        <v>10</v>
      </c>
      <c r="G76" s="5">
        <f ca="1">DATEDIF(E76, TODAY(), "Y")</f>
        <v>3</v>
      </c>
      <c r="H76" s="7">
        <f ca="1">INDEX(Table2[Vacation Days],MATCH(Table1[[#This Row],[Total Years]],Table2[Years],0))</f>
        <v>18</v>
      </c>
      <c r="I76" s="3"/>
    </row>
    <row r="77" spans="1:9" ht="19.2" x14ac:dyDescent="0.3">
      <c r="A77" s="22">
        <v>258</v>
      </c>
      <c r="B77" s="4" t="s">
        <v>69</v>
      </c>
      <c r="C77" s="5" t="s">
        <v>41</v>
      </c>
      <c r="D77" s="5" t="s">
        <v>34</v>
      </c>
      <c r="E77" s="6">
        <v>44986</v>
      </c>
      <c r="F77" s="5" t="s">
        <v>10</v>
      </c>
      <c r="G77" s="5">
        <f ca="1">DATEDIF(E77, TODAY(), "Y")</f>
        <v>3</v>
      </c>
      <c r="H77" s="7">
        <f ca="1">INDEX(Table2[Vacation Days],MATCH(Table1[[#This Row],[Total Years]],Table2[Years],0))</f>
        <v>18</v>
      </c>
      <c r="I77" s="3"/>
    </row>
    <row r="78" spans="1:9" ht="19.2" x14ac:dyDescent="0.3">
      <c r="A78" s="22">
        <v>260</v>
      </c>
      <c r="B78" s="14" t="s">
        <v>183</v>
      </c>
      <c r="C78" s="5" t="s">
        <v>184</v>
      </c>
      <c r="D78" s="6" t="s">
        <v>139</v>
      </c>
      <c r="E78" s="6">
        <v>45098</v>
      </c>
      <c r="F78" s="5" t="s">
        <v>13</v>
      </c>
      <c r="G78" s="5">
        <f ca="1">DATEDIF(E78, TODAY(), "Y")</f>
        <v>3</v>
      </c>
      <c r="H78" s="5">
        <f ca="1">INDEX(Table2[Vacation Days],MATCH(Table1[[#This Row],[Total Years]],Table2[Years],0))</f>
        <v>18</v>
      </c>
      <c r="I78" s="3"/>
    </row>
    <row r="79" spans="1:9" ht="19.2" x14ac:dyDescent="0.3">
      <c r="A79" s="22">
        <v>264</v>
      </c>
      <c r="B79" s="4" t="s">
        <v>70</v>
      </c>
      <c r="C79" s="5" t="s">
        <v>71</v>
      </c>
      <c r="D79" s="5" t="s">
        <v>9</v>
      </c>
      <c r="E79" s="6">
        <v>45292</v>
      </c>
      <c r="F79" s="5" t="s">
        <v>13</v>
      </c>
      <c r="G79" s="5">
        <f ca="1">DATEDIF(E79, TODAY(), "Y")</f>
        <v>2</v>
      </c>
      <c r="H79" s="7">
        <f ca="1">INDEX(Table2[Vacation Days],MATCH(Table1[[#This Row],[Total Years]],Table2[Years],0))</f>
        <v>14</v>
      </c>
      <c r="I79" s="3"/>
    </row>
    <row r="80" spans="1:9" ht="19.2" x14ac:dyDescent="0.3">
      <c r="A80" s="22">
        <v>267</v>
      </c>
      <c r="B80" s="14" t="s">
        <v>171</v>
      </c>
      <c r="C80" s="5" t="s">
        <v>31</v>
      </c>
      <c r="D80" s="6" t="s">
        <v>139</v>
      </c>
      <c r="E80" s="6">
        <v>45078</v>
      </c>
      <c r="F80" s="5" t="s">
        <v>10</v>
      </c>
      <c r="G80" s="5">
        <f ca="1">DATEDIF(E80, TODAY(), "Y")</f>
        <v>3</v>
      </c>
      <c r="H80" s="5">
        <f ca="1">INDEX(Table2[Vacation Days],MATCH(Table1[[#This Row],[Total Years]],Table2[Years],0))</f>
        <v>18</v>
      </c>
      <c r="I80" s="3"/>
    </row>
    <row r="81" spans="1:9" ht="19.2" x14ac:dyDescent="0.3">
      <c r="A81" s="22">
        <v>271</v>
      </c>
      <c r="B81" s="4" t="s">
        <v>72</v>
      </c>
      <c r="C81" s="5" t="s">
        <v>65</v>
      </c>
      <c r="D81" s="5" t="s">
        <v>9</v>
      </c>
      <c r="E81" s="6">
        <v>45108</v>
      </c>
      <c r="F81" s="5" t="s">
        <v>15</v>
      </c>
      <c r="G81" s="5">
        <f ca="1">DATEDIF(E81, TODAY(), "Y")</f>
        <v>3</v>
      </c>
      <c r="H81" s="7">
        <f ca="1">INDEX(Table2[Vacation Days],MATCH(Table1[[#This Row],[Total Years]],Table2[Years],0))</f>
        <v>18</v>
      </c>
      <c r="I81" s="3"/>
    </row>
    <row r="82" spans="1:9" ht="19.2" x14ac:dyDescent="0.3">
      <c r="A82" s="22">
        <v>277</v>
      </c>
      <c r="B82" s="4" t="s">
        <v>170</v>
      </c>
      <c r="C82" s="5" t="s">
        <v>8</v>
      </c>
      <c r="D82" s="6" t="s">
        <v>139</v>
      </c>
      <c r="E82" s="6">
        <v>45208</v>
      </c>
      <c r="F82" s="5" t="s">
        <v>147</v>
      </c>
      <c r="G82" s="5">
        <f ca="1">DATEDIF(E82, TODAY(), "Y")</f>
        <v>2</v>
      </c>
      <c r="H82" s="5">
        <f ca="1">INDEX(Table2[Vacation Days],MATCH(Table1[[#This Row],[Total Years]],Table2[Years],0))</f>
        <v>14</v>
      </c>
      <c r="I82" s="3"/>
    </row>
    <row r="83" spans="1:9" ht="19.2" x14ac:dyDescent="0.3">
      <c r="A83" s="22">
        <v>281</v>
      </c>
      <c r="B83" s="14" t="s">
        <v>169</v>
      </c>
      <c r="C83" s="4" t="s">
        <v>65</v>
      </c>
      <c r="D83" s="6" t="s">
        <v>139</v>
      </c>
      <c r="E83" s="6">
        <v>44835</v>
      </c>
      <c r="F83" s="5" t="s">
        <v>15</v>
      </c>
      <c r="G83" s="5">
        <f ca="1">DATEDIF(E83, TODAY(), "Y")</f>
        <v>3</v>
      </c>
      <c r="H83" s="4">
        <f ca="1">INDEX(Table2[Vacation Days],MATCH(Table1[[#This Row],[Total Years]],Table2[Years],0))</f>
        <v>18</v>
      </c>
      <c r="I83" s="10" t="s">
        <v>258</v>
      </c>
    </row>
    <row r="84" spans="1:9" ht="19.2" x14ac:dyDescent="0.3">
      <c r="A84" s="22">
        <v>283</v>
      </c>
      <c r="B84" s="4" t="s">
        <v>73</v>
      </c>
      <c r="C84" s="5" t="s">
        <v>31</v>
      </c>
      <c r="D84" s="5" t="s">
        <v>9</v>
      </c>
      <c r="E84" s="9">
        <v>45170</v>
      </c>
      <c r="F84" s="5" t="s">
        <v>10</v>
      </c>
      <c r="G84" s="5">
        <f ca="1">DATEDIF(E84, TODAY(), "Y")</f>
        <v>2</v>
      </c>
      <c r="H84" s="27">
        <f ca="1">INDEX(Table2[Vacation Days],MATCH(Table1[[#This Row],[Total Years]],Table2[Years],0))</f>
        <v>14</v>
      </c>
      <c r="I84" s="3"/>
    </row>
    <row r="85" spans="1:9" ht="19.2" x14ac:dyDescent="0.3">
      <c r="A85" s="22">
        <v>288</v>
      </c>
      <c r="B85" s="14" t="s">
        <v>244</v>
      </c>
      <c r="C85" s="5" t="s">
        <v>31</v>
      </c>
      <c r="D85" s="6" t="s">
        <v>225</v>
      </c>
      <c r="E85" s="6">
        <v>44932</v>
      </c>
      <c r="F85" s="5" t="s">
        <v>15</v>
      </c>
      <c r="G85" s="5">
        <f ca="1">DATEDIF(E85, TODAY(), "Y")</f>
        <v>3</v>
      </c>
      <c r="H85" s="5">
        <f ca="1">INDEX(Table2[Vacation Days],MATCH(Table1[[#This Row],[Total Years]],Table2[Years],0))</f>
        <v>18</v>
      </c>
      <c r="I85" s="3"/>
    </row>
    <row r="86" spans="1:9" ht="19.2" x14ac:dyDescent="0.3">
      <c r="A86" s="22">
        <v>298</v>
      </c>
      <c r="B86" s="4" t="s">
        <v>74</v>
      </c>
      <c r="C86" s="5" t="s">
        <v>41</v>
      </c>
      <c r="D86" s="5" t="s">
        <v>9</v>
      </c>
      <c r="E86" s="9">
        <v>45139</v>
      </c>
      <c r="F86" s="5" t="s">
        <v>10</v>
      </c>
      <c r="G86" s="5">
        <f ca="1">DATEDIF(E86, TODAY(), "Y")</f>
        <v>3</v>
      </c>
      <c r="H86" s="7">
        <f ca="1">INDEX(Table2[Vacation Days],MATCH(Table1[[#This Row],[Total Years]],Table2[Years],0))</f>
        <v>18</v>
      </c>
      <c r="I86" s="3"/>
    </row>
    <row r="87" spans="1:9" ht="19.2" x14ac:dyDescent="0.3">
      <c r="A87" s="22">
        <v>299</v>
      </c>
      <c r="B87" s="4" t="s">
        <v>75</v>
      </c>
      <c r="C87" s="5" t="s">
        <v>41</v>
      </c>
      <c r="D87" s="5" t="s">
        <v>9</v>
      </c>
      <c r="E87" s="9">
        <v>45139</v>
      </c>
      <c r="F87" s="5" t="s">
        <v>10</v>
      </c>
      <c r="G87" s="5">
        <f ca="1">DATEDIF(E87, TODAY(), "Y")</f>
        <v>3</v>
      </c>
      <c r="H87" s="7">
        <f ca="1">INDEX(Table2[Vacation Days],MATCH(Table1[[#This Row],[Total Years]],Table2[Years],0))</f>
        <v>18</v>
      </c>
      <c r="I87" s="3"/>
    </row>
    <row r="88" spans="1:9" ht="19.2" x14ac:dyDescent="0.3">
      <c r="A88" s="22">
        <v>306</v>
      </c>
      <c r="B88" s="4" t="s">
        <v>76</v>
      </c>
      <c r="C88" s="5" t="s">
        <v>77</v>
      </c>
      <c r="D88" s="5" t="s">
        <v>34</v>
      </c>
      <c r="E88" s="6">
        <v>45187</v>
      </c>
      <c r="F88" s="5" t="s">
        <v>13</v>
      </c>
      <c r="G88" s="5">
        <f ca="1">DATEDIF(E88, TODAY(), "Y")</f>
        <v>2</v>
      </c>
      <c r="H88" s="7">
        <f ca="1">INDEX(Table2[Vacation Days],MATCH(Table1[[#This Row],[Total Years]],Table2[Years],0))</f>
        <v>14</v>
      </c>
      <c r="I88" s="3"/>
    </row>
    <row r="89" spans="1:9" ht="19.2" x14ac:dyDescent="0.3">
      <c r="A89" s="22">
        <v>309</v>
      </c>
      <c r="B89" s="4" t="s">
        <v>172</v>
      </c>
      <c r="C89" s="5" t="s">
        <v>31</v>
      </c>
      <c r="D89" s="6" t="s">
        <v>139</v>
      </c>
      <c r="E89" s="6">
        <v>45236</v>
      </c>
      <c r="F89" s="5" t="s">
        <v>10</v>
      </c>
      <c r="G89" s="5">
        <f ca="1">DATEDIF(E89, TODAY(), "Y")</f>
        <v>2</v>
      </c>
      <c r="H89" s="5">
        <f ca="1">INDEX(Table2[Vacation Days],MATCH(Table1[[#This Row],[Total Years]],Table2[Years],0))</f>
        <v>14</v>
      </c>
      <c r="I89" s="3"/>
    </row>
    <row r="90" spans="1:9" ht="19.2" x14ac:dyDescent="0.3">
      <c r="A90" s="22">
        <v>310</v>
      </c>
      <c r="B90" s="4" t="s">
        <v>185</v>
      </c>
      <c r="C90" s="5" t="s">
        <v>105</v>
      </c>
      <c r="D90" s="6" t="s">
        <v>139</v>
      </c>
      <c r="E90" s="6">
        <v>45236</v>
      </c>
      <c r="F90" s="5" t="s">
        <v>55</v>
      </c>
      <c r="G90" s="5">
        <f ca="1">DATEDIF(E90, TODAY(), "Y")</f>
        <v>2</v>
      </c>
      <c r="H90" s="5">
        <f ca="1">INDEX(Table2[Vacation Days],MATCH(Table1[[#This Row],[Total Years]],Table2[Years],0))</f>
        <v>14</v>
      </c>
      <c r="I90" s="3"/>
    </row>
    <row r="91" spans="1:9" ht="19.2" x14ac:dyDescent="0.3">
      <c r="A91" s="22">
        <v>313</v>
      </c>
      <c r="B91" s="4" t="s">
        <v>78</v>
      </c>
      <c r="C91" s="5" t="s">
        <v>79</v>
      </c>
      <c r="D91" s="5" t="s">
        <v>9</v>
      </c>
      <c r="E91" s="6">
        <v>45261</v>
      </c>
      <c r="F91" s="5" t="s">
        <v>15</v>
      </c>
      <c r="G91" s="5">
        <f ca="1">DATEDIF(E91, TODAY(), "Y")</f>
        <v>2</v>
      </c>
      <c r="H91" s="7">
        <f ca="1">INDEX(Table2[Vacation Days],MATCH(Table1[[#This Row],[Total Years]],Table2[Years],0))</f>
        <v>14</v>
      </c>
      <c r="I91" s="3"/>
    </row>
    <row r="92" spans="1:9" ht="19.2" x14ac:dyDescent="0.3">
      <c r="A92" s="22">
        <v>315</v>
      </c>
      <c r="B92" s="4" t="s">
        <v>80</v>
      </c>
      <c r="C92" s="5" t="s">
        <v>8</v>
      </c>
      <c r="D92" s="5" t="s">
        <v>81</v>
      </c>
      <c r="E92" s="6">
        <v>45261</v>
      </c>
      <c r="F92" s="5" t="s">
        <v>10</v>
      </c>
      <c r="G92" s="11">
        <f ca="1">DATEDIF(E92, TODAY(), "Y")</f>
        <v>2</v>
      </c>
      <c r="H92" s="7">
        <f ca="1">INDEX(Table2[Vacation Days],MATCH(Table1[[#This Row],[Total Years]],Table2[Years],0))</f>
        <v>14</v>
      </c>
      <c r="I92" s="3"/>
    </row>
    <row r="93" spans="1:9" ht="19.2" x14ac:dyDescent="0.3">
      <c r="A93" s="22">
        <v>318</v>
      </c>
      <c r="B93" s="4" t="s">
        <v>174</v>
      </c>
      <c r="C93" s="5" t="s">
        <v>166</v>
      </c>
      <c r="D93" s="6" t="s">
        <v>139</v>
      </c>
      <c r="E93" s="6">
        <v>45264</v>
      </c>
      <c r="F93" s="5" t="s">
        <v>13</v>
      </c>
      <c r="G93" s="5">
        <f ca="1">DATEDIF(E93, TODAY(), "Y")</f>
        <v>2</v>
      </c>
      <c r="H93" s="5">
        <f ca="1">INDEX(Table2[Vacation Days],MATCH(Table1[[#This Row],[Total Years]],Table2[Years],0))</f>
        <v>14</v>
      </c>
      <c r="I93" s="3"/>
    </row>
    <row r="94" spans="1:9" ht="19.2" x14ac:dyDescent="0.3">
      <c r="A94" s="22">
        <v>319</v>
      </c>
      <c r="B94" s="14" t="s">
        <v>173</v>
      </c>
      <c r="C94" s="5" t="s">
        <v>8</v>
      </c>
      <c r="D94" s="6" t="s">
        <v>139</v>
      </c>
      <c r="E94" s="6">
        <v>45267</v>
      </c>
      <c r="F94" s="5" t="s">
        <v>10</v>
      </c>
      <c r="G94" s="5">
        <f ca="1">DATEDIF(E94, TODAY(), "Y")</f>
        <v>2</v>
      </c>
      <c r="H94" s="5">
        <f ca="1">INDEX(Table2[Vacation Days],MATCH(Table1[[#This Row],[Total Years]],Table2[Years],0))</f>
        <v>14</v>
      </c>
      <c r="I94" s="3"/>
    </row>
    <row r="95" spans="1:9" ht="19.2" x14ac:dyDescent="0.3">
      <c r="A95" s="22">
        <v>320</v>
      </c>
      <c r="B95" s="14" t="s">
        <v>175</v>
      </c>
      <c r="C95" s="5" t="s">
        <v>176</v>
      </c>
      <c r="D95" s="6" t="s">
        <v>139</v>
      </c>
      <c r="E95" s="6">
        <v>45147</v>
      </c>
      <c r="F95" s="5" t="s">
        <v>13</v>
      </c>
      <c r="G95" s="5">
        <f ca="1">DATEDIF(E95, TODAY(), "Y")</f>
        <v>3</v>
      </c>
      <c r="H95" s="5">
        <f ca="1">INDEX(Table2[Vacation Days],MATCH(Table1[[#This Row],[Total Years]],Table2[Years],0))</f>
        <v>18</v>
      </c>
      <c r="I95" s="3"/>
    </row>
    <row r="96" spans="1:9" ht="19.2" x14ac:dyDescent="0.3">
      <c r="A96" s="22">
        <v>321</v>
      </c>
      <c r="B96" s="4" t="s">
        <v>82</v>
      </c>
      <c r="C96" s="5" t="s">
        <v>41</v>
      </c>
      <c r="D96" s="5" t="s">
        <v>83</v>
      </c>
      <c r="E96" s="6">
        <v>45268</v>
      </c>
      <c r="F96" s="5" t="s">
        <v>10</v>
      </c>
      <c r="G96" s="5">
        <f ca="1">DATEDIF(E96, TODAY(), "Y")</f>
        <v>2</v>
      </c>
      <c r="H96" s="7">
        <f ca="1">INDEX(Table2[Vacation Days],MATCH(Table1[[#This Row],[Total Years]],Table2[Years],0))</f>
        <v>14</v>
      </c>
      <c r="I96" s="3"/>
    </row>
    <row r="97" spans="1:9" ht="19.2" x14ac:dyDescent="0.3">
      <c r="A97" s="22">
        <v>329</v>
      </c>
      <c r="B97" s="4" t="s">
        <v>84</v>
      </c>
      <c r="C97" s="5" t="s">
        <v>31</v>
      </c>
      <c r="D97" s="5" t="s">
        <v>81</v>
      </c>
      <c r="E97" s="6">
        <v>45292</v>
      </c>
      <c r="F97" s="5" t="s">
        <v>10</v>
      </c>
      <c r="G97" s="5">
        <f ca="1">DATEDIF(E97, TODAY(), "Y")</f>
        <v>2</v>
      </c>
      <c r="H97" s="7">
        <f ca="1">INDEX(Table2[Vacation Days],MATCH(Table1[[#This Row],[Total Years]],Table2[Years],0))</f>
        <v>14</v>
      </c>
      <c r="I97" s="3"/>
    </row>
    <row r="98" spans="1:9" ht="19.2" x14ac:dyDescent="0.3">
      <c r="A98" s="22">
        <v>330</v>
      </c>
      <c r="B98" s="4" t="s">
        <v>85</v>
      </c>
      <c r="C98" s="5" t="s">
        <v>31</v>
      </c>
      <c r="D98" s="5" t="s">
        <v>81</v>
      </c>
      <c r="E98" s="6">
        <v>45292</v>
      </c>
      <c r="F98" s="5" t="s">
        <v>10</v>
      </c>
      <c r="G98" s="5">
        <f ca="1">DATEDIF(E98, TODAY(), "Y")</f>
        <v>2</v>
      </c>
      <c r="H98" s="7">
        <f ca="1">INDEX(Table2[Vacation Days],MATCH(Table1[[#This Row],[Total Years]],Table2[Years],0))</f>
        <v>14</v>
      </c>
      <c r="I98" s="3"/>
    </row>
    <row r="99" spans="1:9" ht="19.2" x14ac:dyDescent="0.3">
      <c r="A99" s="22">
        <v>332</v>
      </c>
      <c r="B99" s="14" t="s">
        <v>193</v>
      </c>
      <c r="C99" s="5" t="s">
        <v>126</v>
      </c>
      <c r="D99" s="6" t="s">
        <v>139</v>
      </c>
      <c r="E99" s="6">
        <v>45310</v>
      </c>
      <c r="F99" s="5" t="s">
        <v>13</v>
      </c>
      <c r="G99" s="5">
        <f ca="1">DATEDIF(E99, TODAY(), "Y")</f>
        <v>2</v>
      </c>
      <c r="H99" s="5">
        <f ca="1">INDEX(Table2[Vacation Days],MATCH(Table1[[#This Row],[Total Years]],Table2[Years],0))</f>
        <v>14</v>
      </c>
      <c r="I99" s="3"/>
    </row>
    <row r="100" spans="1:9" ht="19.2" x14ac:dyDescent="0.3">
      <c r="A100" s="22">
        <v>333</v>
      </c>
      <c r="B100" s="4" t="s">
        <v>177</v>
      </c>
      <c r="C100" s="5" t="s">
        <v>29</v>
      </c>
      <c r="D100" s="6" t="s">
        <v>139</v>
      </c>
      <c r="E100" s="6">
        <v>45309</v>
      </c>
      <c r="F100" s="5" t="s">
        <v>13</v>
      </c>
      <c r="G100" s="5">
        <f ca="1">DATEDIF(E100, TODAY(), "Y")</f>
        <v>2</v>
      </c>
      <c r="H100" s="5">
        <f ca="1">INDEX(Table2[Vacation Days],MATCH(Table1[[#This Row],[Total Years]],Table2[Years],0))</f>
        <v>14</v>
      </c>
      <c r="I100" s="3"/>
    </row>
    <row r="101" spans="1:9" ht="19.2" x14ac:dyDescent="0.3">
      <c r="A101" s="22">
        <v>337</v>
      </c>
      <c r="B101" s="14" t="s">
        <v>190</v>
      </c>
      <c r="C101" s="5" t="s">
        <v>191</v>
      </c>
      <c r="D101" s="6" t="s">
        <v>139</v>
      </c>
      <c r="E101" s="6">
        <v>45292</v>
      </c>
      <c r="F101" s="5" t="s">
        <v>15</v>
      </c>
      <c r="G101" s="5">
        <f ca="1">DATEDIF(E101, TODAY(), "Y")</f>
        <v>2</v>
      </c>
      <c r="H101" s="5">
        <f ca="1">INDEX(Table2[Vacation Days],MATCH(Table1[[#This Row],[Total Years]],Table2[Years],0))</f>
        <v>14</v>
      </c>
      <c r="I101" s="3"/>
    </row>
    <row r="102" spans="1:9" ht="19.2" x14ac:dyDescent="0.3">
      <c r="A102" s="22">
        <v>342</v>
      </c>
      <c r="B102" s="14" t="s">
        <v>186</v>
      </c>
      <c r="C102" s="5" t="s">
        <v>187</v>
      </c>
      <c r="D102" s="6" t="s">
        <v>139</v>
      </c>
      <c r="E102" s="6">
        <v>45323</v>
      </c>
      <c r="F102" s="5" t="s">
        <v>55</v>
      </c>
      <c r="G102" s="5">
        <f ca="1">DATEDIF(E102, TODAY(), "Y")</f>
        <v>2</v>
      </c>
      <c r="H102" s="5">
        <f ca="1">INDEX(Table2[Vacation Days],MATCH(Table1[[#This Row],[Total Years]],Table2[Years],0))</f>
        <v>14</v>
      </c>
      <c r="I102" s="3"/>
    </row>
    <row r="103" spans="1:9" ht="19.2" x14ac:dyDescent="0.3">
      <c r="A103" s="22">
        <v>343</v>
      </c>
      <c r="B103" s="4" t="s">
        <v>188</v>
      </c>
      <c r="C103" s="5" t="s">
        <v>189</v>
      </c>
      <c r="D103" s="6" t="s">
        <v>139</v>
      </c>
      <c r="E103" s="6">
        <v>45330</v>
      </c>
      <c r="F103" s="5" t="s">
        <v>55</v>
      </c>
      <c r="G103" s="5">
        <f ca="1">DATEDIF(E103, TODAY(), "Y")</f>
        <v>2</v>
      </c>
      <c r="H103" s="5">
        <f ca="1">INDEX(Table2[Vacation Days],MATCH(Table1[[#This Row],[Total Years]],Table2[Years],0))</f>
        <v>14</v>
      </c>
      <c r="I103" s="3"/>
    </row>
    <row r="104" spans="1:9" ht="19.2" x14ac:dyDescent="0.3">
      <c r="A104" s="22">
        <v>346</v>
      </c>
      <c r="B104" s="4" t="s">
        <v>241</v>
      </c>
      <c r="C104" s="5" t="s">
        <v>57</v>
      </c>
      <c r="D104" s="6" t="s">
        <v>225</v>
      </c>
      <c r="E104" s="6">
        <v>45334</v>
      </c>
      <c r="F104" s="5" t="s">
        <v>13</v>
      </c>
      <c r="G104" s="5">
        <f ca="1">DATEDIF(E104, TODAY(), "Y")</f>
        <v>2</v>
      </c>
      <c r="H104" s="5">
        <f ca="1">INDEX(Table2[Vacation Days],MATCH(Table1[[#This Row],[Total Years]],Table2[Years],0))</f>
        <v>14</v>
      </c>
      <c r="I104" s="3"/>
    </row>
    <row r="105" spans="1:9" ht="19.2" x14ac:dyDescent="0.3">
      <c r="A105" s="22">
        <v>347</v>
      </c>
      <c r="B105" s="14" t="s">
        <v>178</v>
      </c>
      <c r="C105" s="5" t="s">
        <v>179</v>
      </c>
      <c r="D105" s="6" t="s">
        <v>139</v>
      </c>
      <c r="E105" s="6">
        <v>45362</v>
      </c>
      <c r="F105" s="5" t="s">
        <v>13</v>
      </c>
      <c r="G105" s="5">
        <f ca="1">DATEDIF(E105, TODAY(), "Y")</f>
        <v>2</v>
      </c>
      <c r="H105" s="5">
        <f ca="1">INDEX(Table2[Vacation Days],MATCH(Table1[[#This Row],[Total Years]],Table2[Years],0))</f>
        <v>14</v>
      </c>
      <c r="I105" s="3"/>
    </row>
    <row r="106" spans="1:9" ht="19.2" x14ac:dyDescent="0.3">
      <c r="A106" s="22">
        <v>349</v>
      </c>
      <c r="B106" s="4" t="s">
        <v>194</v>
      </c>
      <c r="C106" s="5" t="s">
        <v>41</v>
      </c>
      <c r="D106" s="6" t="s">
        <v>139</v>
      </c>
      <c r="E106" s="6">
        <v>45387</v>
      </c>
      <c r="F106" s="5" t="s">
        <v>10</v>
      </c>
      <c r="G106" s="5">
        <f ca="1">DATEDIF(E106, TODAY(), "Y")</f>
        <v>2</v>
      </c>
      <c r="H106" s="5">
        <f ca="1">INDEX(Table2[Vacation Days],MATCH(Table1[[#This Row],[Total Years]],Table2[Years],0))</f>
        <v>14</v>
      </c>
      <c r="I106" s="3"/>
    </row>
    <row r="107" spans="1:9" ht="19.2" x14ac:dyDescent="0.3">
      <c r="A107" s="22">
        <v>351</v>
      </c>
      <c r="B107" s="8" t="s">
        <v>115</v>
      </c>
      <c r="C107" s="5" t="s">
        <v>79</v>
      </c>
      <c r="D107" s="6" t="s">
        <v>9</v>
      </c>
      <c r="E107" s="6">
        <v>45383</v>
      </c>
      <c r="F107" s="5" t="s">
        <v>18</v>
      </c>
      <c r="G107" s="5">
        <f ca="1">DATEDIF(E107, TODAY(), "Y")</f>
        <v>2</v>
      </c>
      <c r="H107" s="5">
        <f ca="1">INDEX(Table2[Vacation Days],MATCH(Table1[[#This Row],[Total Years]],Table2[Years],0))</f>
        <v>14</v>
      </c>
      <c r="I107" s="3"/>
    </row>
    <row r="108" spans="1:9" ht="19.2" x14ac:dyDescent="0.3">
      <c r="A108" s="22">
        <v>352</v>
      </c>
      <c r="B108" s="4" t="s">
        <v>192</v>
      </c>
      <c r="C108" s="5" t="s">
        <v>31</v>
      </c>
      <c r="D108" s="6" t="s">
        <v>139</v>
      </c>
      <c r="E108" s="6">
        <v>45385</v>
      </c>
      <c r="F108" s="5" t="s">
        <v>13</v>
      </c>
      <c r="G108" s="5">
        <f ca="1">DATEDIF(E108, TODAY(), "Y")</f>
        <v>2</v>
      </c>
      <c r="H108" s="5">
        <f ca="1">INDEX(Table2[Vacation Days],MATCH(Table1[[#This Row],[Total Years]],Table2[Years],0))</f>
        <v>14</v>
      </c>
      <c r="I108" s="3"/>
    </row>
    <row r="109" spans="1:9" ht="19.2" x14ac:dyDescent="0.3">
      <c r="A109" s="22">
        <v>354</v>
      </c>
      <c r="B109" s="8" t="s">
        <v>116</v>
      </c>
      <c r="C109" s="5" t="s">
        <v>101</v>
      </c>
      <c r="D109" s="6" t="s">
        <v>9</v>
      </c>
      <c r="E109" s="6">
        <v>45366</v>
      </c>
      <c r="F109" s="5" t="s">
        <v>18</v>
      </c>
      <c r="G109" s="5">
        <f ca="1">DATEDIF(E109, TODAY(), "Y")</f>
        <v>2</v>
      </c>
      <c r="H109" s="5">
        <f ca="1">INDEX(Table2[Vacation Days],MATCH(Table1[[#This Row],[Total Years]],Table2[Years],0))</f>
        <v>14</v>
      </c>
      <c r="I109" s="3"/>
    </row>
    <row r="110" spans="1:9" ht="19.2" x14ac:dyDescent="0.3">
      <c r="A110" s="22">
        <v>355</v>
      </c>
      <c r="B110" s="8" t="s">
        <v>117</v>
      </c>
      <c r="C110" s="5" t="s">
        <v>101</v>
      </c>
      <c r="D110" s="6" t="s">
        <v>9</v>
      </c>
      <c r="E110" s="6">
        <v>45366</v>
      </c>
      <c r="F110" s="5" t="s">
        <v>18</v>
      </c>
      <c r="G110" s="5">
        <f ca="1">DATEDIF(E110, TODAY(), "Y")</f>
        <v>2</v>
      </c>
      <c r="H110" s="5">
        <f ca="1">INDEX(Table2[Vacation Days],MATCH(Table1[[#This Row],[Total Years]],Table2[Years],0))</f>
        <v>14</v>
      </c>
      <c r="I110" s="3"/>
    </row>
    <row r="111" spans="1:9" ht="19.2" x14ac:dyDescent="0.3">
      <c r="A111" s="22">
        <v>358</v>
      </c>
      <c r="B111" s="8" t="s">
        <v>217</v>
      </c>
      <c r="C111" s="6" t="s">
        <v>79</v>
      </c>
      <c r="D111" s="6" t="s">
        <v>9</v>
      </c>
      <c r="E111" s="6">
        <v>45748</v>
      </c>
      <c r="F111" s="6" t="s">
        <v>15</v>
      </c>
      <c r="G111" s="5">
        <f ca="1">DATEDIF(E111, TODAY(), "Y")</f>
        <v>1</v>
      </c>
      <c r="H111" s="5">
        <f ca="1">INDEX(Table2[Vacation Days],MATCH(Table1[[#This Row],[Total Years]],Table2[Years],0))</f>
        <v>12</v>
      </c>
      <c r="I111" s="3"/>
    </row>
    <row r="112" spans="1:9" ht="19.2" x14ac:dyDescent="0.3">
      <c r="A112" s="22">
        <v>360</v>
      </c>
      <c r="B112" s="14" t="s">
        <v>246</v>
      </c>
      <c r="C112" s="5" t="s">
        <v>41</v>
      </c>
      <c r="D112" s="6" t="s">
        <v>225</v>
      </c>
      <c r="E112" s="6">
        <v>45418</v>
      </c>
      <c r="F112" s="5" t="s">
        <v>10</v>
      </c>
      <c r="G112" s="5">
        <f ca="1">DATEDIF(E112, TODAY(), "Y")</f>
        <v>2</v>
      </c>
      <c r="H112" s="5">
        <f ca="1">INDEX(Table2[Vacation Days],MATCH(Table1[[#This Row],[Total Years]],Table2[Years],0))</f>
        <v>14</v>
      </c>
      <c r="I112" s="3"/>
    </row>
    <row r="113" spans="1:9" ht="19.2" x14ac:dyDescent="0.3">
      <c r="A113" s="22">
        <v>361</v>
      </c>
      <c r="B113" s="14" t="s">
        <v>195</v>
      </c>
      <c r="C113" s="5" t="s">
        <v>196</v>
      </c>
      <c r="D113" s="6" t="s">
        <v>139</v>
      </c>
      <c r="E113" s="6">
        <v>45464</v>
      </c>
      <c r="F113" s="5" t="s">
        <v>27</v>
      </c>
      <c r="G113" s="5">
        <f ca="1">DATEDIF(E113, TODAY(), "Y")</f>
        <v>2</v>
      </c>
      <c r="H113" s="5">
        <f ca="1">INDEX(Table2[Vacation Days],MATCH(Table1[[#This Row],[Total Years]],Table2[Years],0))</f>
        <v>14</v>
      </c>
      <c r="I113" s="3"/>
    </row>
    <row r="114" spans="1:9" ht="19.2" x14ac:dyDescent="0.3">
      <c r="A114" s="22">
        <v>363</v>
      </c>
      <c r="B114" s="4" t="s">
        <v>232</v>
      </c>
      <c r="C114" s="5" t="s">
        <v>31</v>
      </c>
      <c r="D114" s="6" t="s">
        <v>225</v>
      </c>
      <c r="E114" s="6">
        <v>45464</v>
      </c>
      <c r="F114" s="5" t="s">
        <v>27</v>
      </c>
      <c r="G114" s="5">
        <f ca="1">DATEDIF(E114, TODAY(), "Y")</f>
        <v>2</v>
      </c>
      <c r="H114" s="5">
        <f ca="1">INDEX(Table2[Vacation Days],MATCH(Table1[[#This Row],[Total Years]],Table2[Years],0))</f>
        <v>14</v>
      </c>
      <c r="I114" s="3"/>
    </row>
    <row r="115" spans="1:9" ht="19.2" x14ac:dyDescent="0.3">
      <c r="A115" s="22">
        <v>368</v>
      </c>
      <c r="B115" s="4" t="s">
        <v>197</v>
      </c>
      <c r="C115" s="5" t="s">
        <v>198</v>
      </c>
      <c r="D115" s="6" t="s">
        <v>139</v>
      </c>
      <c r="E115" s="6">
        <v>45475</v>
      </c>
      <c r="F115" s="5" t="s">
        <v>13</v>
      </c>
      <c r="G115" s="5">
        <f ca="1">DATEDIF(E115, TODAY(), "Y")</f>
        <v>2</v>
      </c>
      <c r="H115" s="5">
        <f ca="1">INDEX(Table2[Vacation Days],MATCH(Table1[[#This Row],[Total Years]],Table2[Years],0))</f>
        <v>14</v>
      </c>
      <c r="I115" s="3"/>
    </row>
    <row r="116" spans="1:9" ht="19.2" x14ac:dyDescent="0.3">
      <c r="A116" s="22">
        <v>369</v>
      </c>
      <c r="B116" s="4" t="s">
        <v>86</v>
      </c>
      <c r="C116" s="5" t="s">
        <v>41</v>
      </c>
      <c r="D116" s="5" t="s">
        <v>9</v>
      </c>
      <c r="E116" s="6">
        <v>45482</v>
      </c>
      <c r="F116" s="5" t="s">
        <v>10</v>
      </c>
      <c r="G116" s="5">
        <f ca="1">DATEDIF(E116, TODAY(), "Y")</f>
        <v>2</v>
      </c>
      <c r="H116" s="7">
        <f ca="1">INDEX(Table2[Vacation Days],MATCH(Table1[[#This Row],[Total Years]],Table2[Years],0))</f>
        <v>14</v>
      </c>
      <c r="I116" s="3"/>
    </row>
    <row r="117" spans="1:9" ht="19.2" x14ac:dyDescent="0.3">
      <c r="A117" s="22">
        <v>379</v>
      </c>
      <c r="B117" s="14" t="s">
        <v>207</v>
      </c>
      <c r="C117" s="5" t="s">
        <v>130</v>
      </c>
      <c r="D117" s="6" t="s">
        <v>139</v>
      </c>
      <c r="E117" s="6">
        <v>45530</v>
      </c>
      <c r="F117" s="5" t="s">
        <v>55</v>
      </c>
      <c r="G117" s="5">
        <f ca="1">DATEDIF(E117, TODAY(), "Y")</f>
        <v>1</v>
      </c>
      <c r="H117" s="5">
        <f ca="1">INDEX(Table2[Vacation Days],MATCH(Table1[[#This Row],[Total Years]],Table2[Years],0))</f>
        <v>12</v>
      </c>
      <c r="I117" s="3"/>
    </row>
    <row r="118" spans="1:9" ht="19.2" x14ac:dyDescent="0.3">
      <c r="A118" s="22">
        <v>380</v>
      </c>
      <c r="B118" s="4" t="s">
        <v>92</v>
      </c>
      <c r="C118" s="5" t="s">
        <v>93</v>
      </c>
      <c r="D118" s="5" t="s">
        <v>34</v>
      </c>
      <c r="E118" s="6">
        <v>45550</v>
      </c>
      <c r="F118" s="5" t="s">
        <v>13</v>
      </c>
      <c r="G118" s="11">
        <f ca="1">DATEDIF(E118, TODAY(), "Y")</f>
        <v>1</v>
      </c>
      <c r="H118" s="7">
        <f ca="1">INDEX(Table2[Vacation Days],MATCH(Table1[[#This Row],[Total Years]],Table2[Years],0))</f>
        <v>12</v>
      </c>
      <c r="I118" s="3"/>
    </row>
    <row r="119" spans="1:9" ht="19.2" x14ac:dyDescent="0.3">
      <c r="A119" s="22">
        <v>381</v>
      </c>
      <c r="B119" s="4" t="s">
        <v>94</v>
      </c>
      <c r="C119" s="5" t="s">
        <v>17</v>
      </c>
      <c r="D119" s="5" t="s">
        <v>34</v>
      </c>
      <c r="E119" s="6">
        <v>45550</v>
      </c>
      <c r="F119" s="5" t="s">
        <v>13</v>
      </c>
      <c r="G119" s="5">
        <f ca="1">DATEDIF(E119, TODAY(), "Y")</f>
        <v>1</v>
      </c>
      <c r="H119" s="7">
        <f ca="1">INDEX(Table2[Vacation Days],MATCH(Table1[[#This Row],[Total Years]],Table2[Years],0))</f>
        <v>12</v>
      </c>
      <c r="I119" s="3"/>
    </row>
    <row r="120" spans="1:9" ht="19.2" x14ac:dyDescent="0.3">
      <c r="A120" s="22">
        <v>382</v>
      </c>
      <c r="B120" s="4" t="s">
        <v>95</v>
      </c>
      <c r="C120" s="5" t="s">
        <v>17</v>
      </c>
      <c r="D120" s="5" t="s">
        <v>34</v>
      </c>
      <c r="E120" s="6">
        <v>45550</v>
      </c>
      <c r="F120" s="5" t="s">
        <v>13</v>
      </c>
      <c r="G120" s="11">
        <f ca="1">DATEDIF(E120, TODAY(), "Y")</f>
        <v>1</v>
      </c>
      <c r="H120" s="7">
        <f ca="1">INDEX(Table2[Vacation Days],MATCH(Table1[[#This Row],[Total Years]],Table2[Years],0))</f>
        <v>12</v>
      </c>
      <c r="I120" s="3"/>
    </row>
    <row r="121" spans="1:9" ht="19.2" x14ac:dyDescent="0.3">
      <c r="A121" s="22">
        <v>382</v>
      </c>
      <c r="B121" s="14" t="s">
        <v>242</v>
      </c>
      <c r="C121" s="5" t="s">
        <v>124</v>
      </c>
      <c r="D121" s="6" t="s">
        <v>225</v>
      </c>
      <c r="E121" s="6">
        <v>45523</v>
      </c>
      <c r="F121" s="5" t="s">
        <v>13</v>
      </c>
      <c r="G121" s="5">
        <f ca="1">DATEDIF(E121, TODAY(), "Y")</f>
        <v>2</v>
      </c>
      <c r="H121" s="5">
        <f ca="1">INDEX(Table2[Vacation Days],MATCH(Table1[[#This Row],[Total Years]],Table2[Years],0))</f>
        <v>14</v>
      </c>
      <c r="I121" s="3"/>
    </row>
    <row r="122" spans="1:9" ht="19.2" x14ac:dyDescent="0.3">
      <c r="A122" s="22">
        <v>385</v>
      </c>
      <c r="B122" s="4" t="s">
        <v>102</v>
      </c>
      <c r="C122" s="5" t="s">
        <v>17</v>
      </c>
      <c r="D122" s="5" t="s">
        <v>9</v>
      </c>
      <c r="E122" s="6">
        <v>45530</v>
      </c>
      <c r="F122" s="5" t="s">
        <v>27</v>
      </c>
      <c r="G122" s="5">
        <f ca="1">DATEDIF(E122, TODAY(), "Y")</f>
        <v>1</v>
      </c>
      <c r="H122" s="7">
        <f ca="1">INDEX(Table2[Vacation Days],MATCH(Table1[[#This Row],[Total Years]],Table2[Years],0))</f>
        <v>12</v>
      </c>
      <c r="I122" s="3"/>
    </row>
    <row r="123" spans="1:9" ht="19.2" x14ac:dyDescent="0.3">
      <c r="A123" s="22">
        <v>386</v>
      </c>
      <c r="B123" s="14" t="s">
        <v>199</v>
      </c>
      <c r="C123" s="5" t="s">
        <v>17</v>
      </c>
      <c r="D123" s="6" t="s">
        <v>139</v>
      </c>
      <c r="E123" s="6">
        <v>45537</v>
      </c>
      <c r="F123" s="5" t="s">
        <v>27</v>
      </c>
      <c r="G123" s="5">
        <f ca="1">DATEDIF(E123, TODAY(), "Y")</f>
        <v>1</v>
      </c>
      <c r="H123" s="5">
        <f ca="1">INDEX(Table2[Vacation Days],MATCH(Table1[[#This Row],[Total Years]],Table2[Years],0))</f>
        <v>12</v>
      </c>
      <c r="I123" s="3"/>
    </row>
    <row r="124" spans="1:9" ht="19.2" x14ac:dyDescent="0.3">
      <c r="A124" s="22">
        <v>387</v>
      </c>
      <c r="B124" s="14" t="s">
        <v>229</v>
      </c>
      <c r="C124" s="5" t="s">
        <v>17</v>
      </c>
      <c r="D124" s="6" t="s">
        <v>225</v>
      </c>
      <c r="E124" s="6">
        <v>45537</v>
      </c>
      <c r="F124" s="5" t="s">
        <v>27</v>
      </c>
      <c r="G124" s="5">
        <f ca="1">DATEDIF(E124, TODAY(), "Y")</f>
        <v>1</v>
      </c>
      <c r="H124" s="5">
        <f ca="1">INDEX(Table2[Vacation Days],MATCH(Table1[[#This Row],[Total Years]],Table2[Years],0))</f>
        <v>12</v>
      </c>
      <c r="I124" s="3"/>
    </row>
    <row r="125" spans="1:9" ht="19.2" x14ac:dyDescent="0.3">
      <c r="A125" s="22">
        <v>388</v>
      </c>
      <c r="B125" s="4" t="s">
        <v>90</v>
      </c>
      <c r="C125" s="5" t="s">
        <v>91</v>
      </c>
      <c r="D125" s="5" t="s">
        <v>34</v>
      </c>
      <c r="E125" s="6">
        <v>45550</v>
      </c>
      <c r="F125" s="5" t="s">
        <v>13</v>
      </c>
      <c r="G125" s="5">
        <f ca="1">DATEDIF(E125, TODAY(), "Y")</f>
        <v>1</v>
      </c>
      <c r="H125" s="7">
        <f ca="1">INDEX(Table2[Vacation Days],MATCH(Table1[[#This Row],[Total Years]],Table2[Years],0))</f>
        <v>12</v>
      </c>
      <c r="I125" s="3"/>
    </row>
    <row r="126" spans="1:9" ht="19.2" x14ac:dyDescent="0.3">
      <c r="A126" s="22">
        <v>389</v>
      </c>
      <c r="B126" s="4" t="s">
        <v>132</v>
      </c>
      <c r="C126" s="5" t="s">
        <v>17</v>
      </c>
      <c r="D126" s="5" t="s">
        <v>9</v>
      </c>
      <c r="E126" s="6">
        <v>45537</v>
      </c>
      <c r="F126" s="5" t="s">
        <v>27</v>
      </c>
      <c r="G126" s="5">
        <f ca="1">DATEDIF(E126, TODAY(), "Y")</f>
        <v>1</v>
      </c>
      <c r="H126" s="7">
        <f ca="1">INDEX(Table2[Vacation Days],MATCH(Table1[[#This Row],[Total Years]],Table2[Years],0))</f>
        <v>12</v>
      </c>
      <c r="I126" s="3"/>
    </row>
    <row r="127" spans="1:9" ht="19.2" x14ac:dyDescent="0.3">
      <c r="A127" s="22">
        <v>392</v>
      </c>
      <c r="B127" s="4" t="s">
        <v>256</v>
      </c>
      <c r="C127" s="5" t="s">
        <v>65</v>
      </c>
      <c r="D127" s="5" t="s">
        <v>9</v>
      </c>
      <c r="E127" s="6">
        <v>45523</v>
      </c>
      <c r="F127" s="5" t="s">
        <v>15</v>
      </c>
      <c r="G127" s="5">
        <f ca="1">DATEDIF(E127, TODAY(), "Y")</f>
        <v>2</v>
      </c>
      <c r="H127" s="7">
        <f ca="1">INDEX(Table2[Vacation Days],MATCH(Table1[[#This Row],[Total Years]],Table2[Years],0))</f>
        <v>14</v>
      </c>
      <c r="I127" s="3"/>
    </row>
    <row r="128" spans="1:9" ht="19.2" x14ac:dyDescent="0.3">
      <c r="A128" s="22">
        <v>395</v>
      </c>
      <c r="B128" s="4" t="s">
        <v>99</v>
      </c>
      <c r="C128" s="5" t="s">
        <v>22</v>
      </c>
      <c r="D128" s="5" t="s">
        <v>34</v>
      </c>
      <c r="E128" s="6">
        <v>45550</v>
      </c>
      <c r="F128" s="5" t="s">
        <v>13</v>
      </c>
      <c r="G128" s="5">
        <f ca="1">DATEDIF(E128, TODAY(), "Y")</f>
        <v>1</v>
      </c>
      <c r="H128" s="7">
        <f ca="1">INDEX(Table2[Vacation Days],MATCH(Table1[[#This Row],[Total Years]],Table2[Years],0))</f>
        <v>12</v>
      </c>
      <c r="I128" s="3"/>
    </row>
    <row r="129" spans="1:9" ht="19.2" x14ac:dyDescent="0.3">
      <c r="A129" s="22">
        <v>396</v>
      </c>
      <c r="B129" s="4" t="s">
        <v>98</v>
      </c>
      <c r="C129" s="5" t="s">
        <v>97</v>
      </c>
      <c r="D129" s="5" t="s">
        <v>34</v>
      </c>
      <c r="E129" s="6">
        <v>45550</v>
      </c>
      <c r="F129" s="5" t="s">
        <v>13</v>
      </c>
      <c r="G129" s="11">
        <f ca="1">DATEDIF(E129, TODAY(), "Y")</f>
        <v>1</v>
      </c>
      <c r="H129" s="7">
        <f ca="1">INDEX(Table2[Vacation Days],MATCH(Table1[[#This Row],[Total Years]],Table2[Years],0))</f>
        <v>12</v>
      </c>
      <c r="I129" s="3"/>
    </row>
    <row r="130" spans="1:9" ht="19.2" x14ac:dyDescent="0.3">
      <c r="A130" s="22">
        <v>397</v>
      </c>
      <c r="B130" s="4" t="s">
        <v>96</v>
      </c>
      <c r="C130" s="5" t="s">
        <v>97</v>
      </c>
      <c r="D130" s="5" t="s">
        <v>34</v>
      </c>
      <c r="E130" s="6">
        <v>45550</v>
      </c>
      <c r="F130" s="5" t="s">
        <v>13</v>
      </c>
      <c r="G130" s="5">
        <f ca="1">DATEDIF(E130, TODAY(), "Y")</f>
        <v>1</v>
      </c>
      <c r="H130" s="7">
        <f ca="1">INDEX(Table2[Vacation Days],MATCH(Table1[[#This Row],[Total Years]],Table2[Years],0))</f>
        <v>12</v>
      </c>
      <c r="I130" s="3"/>
    </row>
    <row r="131" spans="1:9" ht="19.2" x14ac:dyDescent="0.3">
      <c r="A131" s="22">
        <v>398</v>
      </c>
      <c r="B131" s="4" t="s">
        <v>100</v>
      </c>
      <c r="C131" s="5" t="s">
        <v>101</v>
      </c>
      <c r="D131" s="5" t="s">
        <v>34</v>
      </c>
      <c r="E131" s="6">
        <v>45550</v>
      </c>
      <c r="F131" s="5" t="s">
        <v>13</v>
      </c>
      <c r="G131" s="5">
        <f ca="1">DATEDIF(E131, TODAY(), "Y")</f>
        <v>1</v>
      </c>
      <c r="H131" s="7">
        <f ca="1">INDEX(Table2[Vacation Days],MATCH(Table1[[#This Row],[Total Years]],Table2[Years],0))</f>
        <v>12</v>
      </c>
      <c r="I131" s="3"/>
    </row>
    <row r="132" spans="1:9" ht="19.2" x14ac:dyDescent="0.3">
      <c r="A132" s="22">
        <v>400</v>
      </c>
      <c r="B132" s="4" t="s">
        <v>87</v>
      </c>
      <c r="C132" s="5" t="s">
        <v>41</v>
      </c>
      <c r="D132" s="5" t="s">
        <v>34</v>
      </c>
      <c r="E132" s="6">
        <v>45566</v>
      </c>
      <c r="F132" s="5" t="s">
        <v>10</v>
      </c>
      <c r="G132" s="5">
        <f ca="1">DATEDIF(E132, TODAY(), "Y")</f>
        <v>1</v>
      </c>
      <c r="H132" s="7">
        <f ca="1">INDEX(Table2[Vacation Days],MATCH(Table1[[#This Row],[Total Years]],Table2[Years],0))</f>
        <v>12</v>
      </c>
      <c r="I132" s="3"/>
    </row>
    <row r="133" spans="1:9" ht="19.2" x14ac:dyDescent="0.3">
      <c r="A133" s="22">
        <v>401</v>
      </c>
      <c r="B133" s="4" t="s">
        <v>88</v>
      </c>
      <c r="C133" s="5" t="s">
        <v>41</v>
      </c>
      <c r="D133" s="5" t="s">
        <v>34</v>
      </c>
      <c r="E133" s="6">
        <v>45566</v>
      </c>
      <c r="F133" s="5" t="s">
        <v>10</v>
      </c>
      <c r="G133" s="5">
        <f ca="1">DATEDIF(E133, TODAY(), "Y")</f>
        <v>1</v>
      </c>
      <c r="H133" s="7">
        <f ca="1">INDEX(Table2[Vacation Days],MATCH(Table1[[#This Row],[Total Years]],Table2[Years],0))</f>
        <v>12</v>
      </c>
      <c r="I133" s="3"/>
    </row>
    <row r="134" spans="1:9" ht="19.2" x14ac:dyDescent="0.3">
      <c r="A134" s="22">
        <v>402</v>
      </c>
      <c r="B134" s="4" t="s">
        <v>89</v>
      </c>
      <c r="C134" s="5" t="s">
        <v>41</v>
      </c>
      <c r="D134" s="5" t="s">
        <v>34</v>
      </c>
      <c r="E134" s="6">
        <v>45597</v>
      </c>
      <c r="F134" s="5" t="s">
        <v>10</v>
      </c>
      <c r="G134" s="11">
        <f ca="1">DATEDIF(E134, TODAY(), "Y")</f>
        <v>1</v>
      </c>
      <c r="H134" s="7">
        <f ca="1">INDEX(Table2[Vacation Days],MATCH(Table1[[#This Row],[Total Years]],Table2[Years],0))</f>
        <v>12</v>
      </c>
      <c r="I134" s="3"/>
    </row>
    <row r="135" spans="1:9" ht="19.2" x14ac:dyDescent="0.3">
      <c r="A135" s="22">
        <v>403</v>
      </c>
      <c r="B135" s="8" t="s">
        <v>108</v>
      </c>
      <c r="C135" s="6" t="s">
        <v>41</v>
      </c>
      <c r="D135" s="6" t="s">
        <v>34</v>
      </c>
      <c r="E135" s="6">
        <v>45566</v>
      </c>
      <c r="F135" s="6" t="s">
        <v>10</v>
      </c>
      <c r="G135" s="5">
        <f ca="1">DATEDIF(E135, TODAY(), "Y")</f>
        <v>1</v>
      </c>
      <c r="H135" s="5">
        <f ca="1">INDEX(Table2[Vacation Days],MATCH(Table1[[#This Row],[Total Years]],Table2[Years],0))</f>
        <v>12</v>
      </c>
      <c r="I135" s="3"/>
    </row>
    <row r="136" spans="1:9" ht="19.2" x14ac:dyDescent="0.3">
      <c r="A136" s="22">
        <v>405</v>
      </c>
      <c r="B136" s="4" t="s">
        <v>103</v>
      </c>
      <c r="C136" s="5" t="s">
        <v>17</v>
      </c>
      <c r="D136" s="5" t="s">
        <v>34</v>
      </c>
      <c r="E136" s="6">
        <v>45566</v>
      </c>
      <c r="F136" s="5" t="s">
        <v>13</v>
      </c>
      <c r="G136" s="5">
        <f ca="1">DATEDIF(E136, TODAY(), "Y")</f>
        <v>1</v>
      </c>
      <c r="H136" s="7">
        <f ca="1">INDEX(Table2[Vacation Days],MATCH(Table1[[#This Row],[Total Years]],Table2[Years],0))</f>
        <v>12</v>
      </c>
      <c r="I136" s="3"/>
    </row>
    <row r="137" spans="1:9" ht="19.2" x14ac:dyDescent="0.3">
      <c r="A137" s="22">
        <v>407</v>
      </c>
      <c r="B137" s="4" t="s">
        <v>202</v>
      </c>
      <c r="C137" s="5" t="s">
        <v>79</v>
      </c>
      <c r="D137" s="6" t="s">
        <v>139</v>
      </c>
      <c r="E137" s="6">
        <v>45566</v>
      </c>
      <c r="F137" s="5" t="s">
        <v>15</v>
      </c>
      <c r="G137" s="5">
        <f ca="1">DATEDIF(E137, TODAY(), "Y")</f>
        <v>1</v>
      </c>
      <c r="H137" s="5">
        <f ca="1">INDEX(Table2[Vacation Days],MATCH(Table1[[#This Row],[Total Years]],Table2[Years],0))</f>
        <v>12</v>
      </c>
      <c r="I137" s="3"/>
    </row>
    <row r="138" spans="1:9" ht="19.2" x14ac:dyDescent="0.3">
      <c r="A138" s="22">
        <v>408</v>
      </c>
      <c r="B138" s="14" t="s">
        <v>203</v>
      </c>
      <c r="C138" s="5" t="s">
        <v>79</v>
      </c>
      <c r="D138" s="6" t="s">
        <v>139</v>
      </c>
      <c r="E138" s="6">
        <v>45566</v>
      </c>
      <c r="F138" s="5" t="s">
        <v>15</v>
      </c>
      <c r="G138" s="5">
        <f ca="1">DATEDIF(E138, TODAY(), "Y")</f>
        <v>1</v>
      </c>
      <c r="H138" s="5">
        <f ca="1">INDEX(Table2[Vacation Days],MATCH(Table1[[#This Row],[Total Years]],Table2[Years],0))</f>
        <v>12</v>
      </c>
      <c r="I138" s="3"/>
    </row>
    <row r="139" spans="1:9" ht="19.2" x14ac:dyDescent="0.6">
      <c r="A139" s="22">
        <v>410</v>
      </c>
      <c r="B139" s="4" t="s">
        <v>104</v>
      </c>
      <c r="C139" s="5" t="s">
        <v>105</v>
      </c>
      <c r="D139" s="5" t="s">
        <v>9</v>
      </c>
      <c r="E139" s="6">
        <v>45474</v>
      </c>
      <c r="F139" s="12" t="s">
        <v>55</v>
      </c>
      <c r="G139" s="5">
        <f ca="1">DATEDIF(E139, TODAY(), "Y")</f>
        <v>2</v>
      </c>
      <c r="H139" s="7">
        <f ca="1">INDEX(Table2[Vacation Days],MATCH(Table1[[#This Row],[Total Years]],Table2[Years],0))</f>
        <v>14</v>
      </c>
      <c r="I139" s="3"/>
    </row>
    <row r="140" spans="1:9" ht="19.2" x14ac:dyDescent="0.3">
      <c r="A140" s="22">
        <v>410</v>
      </c>
      <c r="B140" s="8" t="s">
        <v>107</v>
      </c>
      <c r="C140" s="6" t="s">
        <v>17</v>
      </c>
      <c r="D140" s="6" t="s">
        <v>9</v>
      </c>
      <c r="E140" s="6">
        <v>45572</v>
      </c>
      <c r="F140" s="5" t="s">
        <v>27</v>
      </c>
      <c r="G140" s="5">
        <f ca="1">DATEDIF(E140, TODAY(), "Y")</f>
        <v>1</v>
      </c>
      <c r="H140" s="5">
        <f ca="1">INDEX(Table2[Vacation Days],MATCH(Table1[[#This Row],[Total Years]],Table2[Years],0))</f>
        <v>12</v>
      </c>
      <c r="I140" s="3"/>
    </row>
    <row r="141" spans="1:9" ht="19.2" x14ac:dyDescent="0.3">
      <c r="A141" s="22">
        <v>414</v>
      </c>
      <c r="B141" s="4" t="s">
        <v>200</v>
      </c>
      <c r="C141" s="5" t="s">
        <v>8</v>
      </c>
      <c r="D141" s="6" t="s">
        <v>139</v>
      </c>
      <c r="E141" s="6">
        <v>45583</v>
      </c>
      <c r="F141" s="5" t="s">
        <v>27</v>
      </c>
      <c r="G141" s="5">
        <f ca="1">DATEDIF(E141, TODAY(), "Y")</f>
        <v>1</v>
      </c>
      <c r="H141" s="5">
        <f ca="1">INDEX(Table2[Vacation Days],MATCH(Table1[[#This Row],[Total Years]],Table2[Years],0))</f>
        <v>12</v>
      </c>
      <c r="I141" s="3"/>
    </row>
    <row r="142" spans="1:9" ht="19.2" x14ac:dyDescent="0.3">
      <c r="A142" s="22">
        <v>416</v>
      </c>
      <c r="B142" s="8" t="s">
        <v>106</v>
      </c>
      <c r="C142" s="6" t="s">
        <v>31</v>
      </c>
      <c r="D142" s="6" t="s">
        <v>9</v>
      </c>
      <c r="E142" s="6">
        <v>45551</v>
      </c>
      <c r="F142" s="6" t="s">
        <v>10</v>
      </c>
      <c r="G142" s="5">
        <f ca="1">DATEDIF(E142, TODAY(), "Y")</f>
        <v>1</v>
      </c>
      <c r="H142" s="5">
        <f ca="1">INDEX(Table2[Vacation Days],MATCH(Table1[[#This Row],[Total Years]],Table2[Years],0))</f>
        <v>12</v>
      </c>
      <c r="I142" s="3"/>
    </row>
    <row r="143" spans="1:9" ht="19.2" x14ac:dyDescent="0.3">
      <c r="A143" s="22">
        <v>424</v>
      </c>
      <c r="B143" s="8" t="s">
        <v>111</v>
      </c>
      <c r="C143" s="6" t="s">
        <v>112</v>
      </c>
      <c r="D143" s="6" t="s">
        <v>9</v>
      </c>
      <c r="E143" s="6">
        <v>45603</v>
      </c>
      <c r="F143" s="6" t="s">
        <v>55</v>
      </c>
      <c r="G143" s="5">
        <f ca="1">DATEDIF(E143, TODAY(), "Y")</f>
        <v>1</v>
      </c>
      <c r="H143" s="7">
        <f ca="1">INDEX(Table2[Vacation Days],MATCH(Table1[[#This Row],[Total Years]],Table2[Years],0))</f>
        <v>12</v>
      </c>
      <c r="I143" s="3"/>
    </row>
    <row r="144" spans="1:9" ht="19.2" x14ac:dyDescent="0.3">
      <c r="A144" s="22">
        <v>425</v>
      </c>
      <c r="B144" s="8" t="s">
        <v>113</v>
      </c>
      <c r="C144" s="5" t="s">
        <v>114</v>
      </c>
      <c r="D144" s="6" t="s">
        <v>9</v>
      </c>
      <c r="E144" s="6">
        <v>45597</v>
      </c>
      <c r="F144" s="11" t="s">
        <v>55</v>
      </c>
      <c r="G144" s="5">
        <f ca="1">DATEDIF(E144, TODAY(), "Y")</f>
        <v>1</v>
      </c>
      <c r="H144" s="7">
        <f ca="1">INDEX(Table2[Vacation Days],MATCH(Table1[[#This Row],[Total Years]],Table2[Years],0))</f>
        <v>12</v>
      </c>
      <c r="I144" s="3"/>
    </row>
    <row r="145" spans="1:9" ht="19.2" x14ac:dyDescent="0.3">
      <c r="A145" s="22">
        <v>428</v>
      </c>
      <c r="B145" s="14" t="s">
        <v>201</v>
      </c>
      <c r="C145" s="5" t="s">
        <v>126</v>
      </c>
      <c r="D145" s="6" t="s">
        <v>139</v>
      </c>
      <c r="E145" s="6">
        <v>45608</v>
      </c>
      <c r="F145" s="5" t="s">
        <v>13</v>
      </c>
      <c r="G145" s="5">
        <f ca="1">DATEDIF(E145, TODAY(), "Y")</f>
        <v>1</v>
      </c>
      <c r="H145" s="5">
        <f ca="1">INDEX(Table2[Vacation Days],MATCH(Table1[[#This Row],[Total Years]],Table2[Years],0))</f>
        <v>12</v>
      </c>
      <c r="I145" s="3"/>
    </row>
    <row r="146" spans="1:9" ht="19.2" x14ac:dyDescent="0.3">
      <c r="A146" s="22">
        <v>446</v>
      </c>
      <c r="B146" s="8" t="s">
        <v>109</v>
      </c>
      <c r="C146" s="5" t="s">
        <v>41</v>
      </c>
      <c r="D146" s="6" t="s">
        <v>9</v>
      </c>
      <c r="E146" s="6">
        <v>45658</v>
      </c>
      <c r="F146" s="6" t="s">
        <v>10</v>
      </c>
      <c r="G146" s="5">
        <f ca="1">DATEDIF(E146, TODAY(), "Y")</f>
        <v>1</v>
      </c>
      <c r="H146" s="5">
        <f ca="1">INDEX(Table2[Vacation Days],MATCH(Table1[[#This Row],[Total Years]],Table2[Years],0))</f>
        <v>12</v>
      </c>
      <c r="I146" s="3"/>
    </row>
    <row r="147" spans="1:9" ht="19.2" x14ac:dyDescent="0.3">
      <c r="A147" s="22">
        <v>452</v>
      </c>
      <c r="B147" s="4" t="s">
        <v>236</v>
      </c>
      <c r="C147" s="5" t="s">
        <v>91</v>
      </c>
      <c r="D147" s="6" t="s">
        <v>225</v>
      </c>
      <c r="E147" s="6">
        <v>45622</v>
      </c>
      <c r="F147" s="5" t="s">
        <v>13</v>
      </c>
      <c r="G147" s="5">
        <f ca="1">DATEDIF(E147, TODAY(), "Y")</f>
        <v>1</v>
      </c>
      <c r="H147" s="5">
        <f ca="1">INDEX(Table2[Vacation Days],MATCH(Table1[[#This Row],[Total Years]],Table2[Years],0))</f>
        <v>12</v>
      </c>
      <c r="I147" s="3"/>
    </row>
    <row r="148" spans="1:9" ht="19.2" x14ac:dyDescent="0.3">
      <c r="A148" s="22">
        <v>461</v>
      </c>
      <c r="B148" s="8" t="s">
        <v>219</v>
      </c>
      <c r="C148" s="5" t="s">
        <v>41</v>
      </c>
      <c r="D148" s="5" t="s">
        <v>81</v>
      </c>
      <c r="E148" s="6">
        <v>46100</v>
      </c>
      <c r="F148" s="5" t="s">
        <v>10</v>
      </c>
      <c r="G148" s="5">
        <f ca="1">DATEDIF(E148, TODAY(), "Y")</f>
        <v>0</v>
      </c>
      <c r="H148" s="5">
        <f ca="1">INDEX(Table2[Vacation Days],MATCH(Table1[[#This Row],[Total Years]],Table2[Years],0))</f>
        <v>12</v>
      </c>
      <c r="I148" s="3"/>
    </row>
    <row r="149" spans="1:9" ht="19.2" x14ac:dyDescent="0.3">
      <c r="A149" s="22">
        <v>463</v>
      </c>
      <c r="B149" s="8" t="s">
        <v>110</v>
      </c>
      <c r="C149" s="5" t="s">
        <v>79</v>
      </c>
      <c r="D149" s="6" t="s">
        <v>9</v>
      </c>
      <c r="E149" s="6">
        <v>45623</v>
      </c>
      <c r="F149" s="5" t="s">
        <v>55</v>
      </c>
      <c r="G149" s="5">
        <f ca="1">DATEDIF(E149, TODAY(), "Y")</f>
        <v>1</v>
      </c>
      <c r="H149" s="5">
        <f ca="1">INDEX(Table2[Vacation Days],MATCH(Table1[[#This Row],[Total Years]],Table2[Years],0))</f>
        <v>12</v>
      </c>
      <c r="I149" s="3"/>
    </row>
    <row r="150" spans="1:9" ht="19.2" x14ac:dyDescent="0.3">
      <c r="A150" s="22">
        <v>464</v>
      </c>
      <c r="B150" s="4" t="s">
        <v>204</v>
      </c>
      <c r="C150" s="5" t="s">
        <v>114</v>
      </c>
      <c r="D150" s="6" t="s">
        <v>139</v>
      </c>
      <c r="E150" s="6">
        <v>45687</v>
      </c>
      <c r="F150" s="5" t="s">
        <v>55</v>
      </c>
      <c r="G150" s="5">
        <f ca="1">DATEDIF(E150, TODAY(), "Y")</f>
        <v>1</v>
      </c>
      <c r="H150" s="5">
        <f ca="1">INDEX(Table2[Vacation Days],MATCH(Table1[[#This Row],[Total Years]],Table2[Years],0))</f>
        <v>12</v>
      </c>
      <c r="I150" s="3"/>
    </row>
    <row r="151" spans="1:9" ht="19.2" x14ac:dyDescent="0.3">
      <c r="A151" s="22">
        <v>467</v>
      </c>
      <c r="B151" s="8" t="s">
        <v>118</v>
      </c>
      <c r="C151" s="6" t="s">
        <v>31</v>
      </c>
      <c r="D151" s="6" t="s">
        <v>9</v>
      </c>
      <c r="E151" s="6">
        <v>45717</v>
      </c>
      <c r="F151" s="26" t="s">
        <v>10</v>
      </c>
      <c r="G151" s="15">
        <f ca="1">DATEDIF(E151, TODAY(), "Y")</f>
        <v>1</v>
      </c>
      <c r="H151" s="15">
        <f ca="1">INDEX(Table2[Vacation Days],MATCH(Table1[[#This Row],[Total Years]],Table2[Years],0))</f>
        <v>12</v>
      </c>
      <c r="I151" s="3"/>
    </row>
    <row r="152" spans="1:9" ht="19.2" x14ac:dyDescent="0.3">
      <c r="A152" s="22">
        <v>468</v>
      </c>
      <c r="B152" s="24" t="s">
        <v>251</v>
      </c>
      <c r="C152" s="17" t="s">
        <v>31</v>
      </c>
      <c r="D152" s="18" t="s">
        <v>225</v>
      </c>
      <c r="E152" s="18">
        <v>45700</v>
      </c>
      <c r="F152" s="17" t="s">
        <v>10</v>
      </c>
      <c r="G152" s="15">
        <f ca="1">DATEDIF(E152, TODAY(), "Y")</f>
        <v>1</v>
      </c>
      <c r="H152" s="17">
        <f ca="1">INDEX(Table2[Vacation Days],MATCH(Table1[[#This Row],[Total Years]],Table2[Years],0))</f>
        <v>12</v>
      </c>
      <c r="I152" s="3"/>
    </row>
    <row r="153" spans="1:9" ht="19.2" x14ac:dyDescent="0.3">
      <c r="A153" s="22">
        <v>469</v>
      </c>
      <c r="B153" s="8" t="s">
        <v>119</v>
      </c>
      <c r="C153" s="17" t="s">
        <v>41</v>
      </c>
      <c r="D153" s="18" t="s">
        <v>9</v>
      </c>
      <c r="E153" s="18">
        <v>45717</v>
      </c>
      <c r="F153" s="15" t="s">
        <v>55</v>
      </c>
      <c r="G153" s="17">
        <f ca="1">DATEDIF(E153, TODAY(), "Y")</f>
        <v>1</v>
      </c>
      <c r="H153" s="17">
        <f ca="1">INDEX(Table2[Vacation Days],MATCH(Table1[[#This Row],[Total Years]],Table2[Years],0))</f>
        <v>12</v>
      </c>
      <c r="I153" s="3"/>
    </row>
    <row r="154" spans="1:9" ht="19.2" x14ac:dyDescent="0.3">
      <c r="A154" s="22">
        <v>471</v>
      </c>
      <c r="B154" s="24" t="s">
        <v>238</v>
      </c>
      <c r="C154" s="17" t="s">
        <v>71</v>
      </c>
      <c r="D154" s="18" t="s">
        <v>225</v>
      </c>
      <c r="E154" s="18">
        <v>45764</v>
      </c>
      <c r="F154" s="15" t="s">
        <v>13</v>
      </c>
      <c r="G154" s="17">
        <f ca="1">DATEDIF(E154, TODAY(), "Y")</f>
        <v>1</v>
      </c>
      <c r="H154" s="17">
        <f ca="1">INDEX(Table2[Vacation Days],MATCH(Table1[[#This Row],[Total Years]],Table2[Years],0))</f>
        <v>12</v>
      </c>
      <c r="I154" s="3"/>
    </row>
    <row r="155" spans="1:9" ht="19.2" x14ac:dyDescent="0.3">
      <c r="A155" s="22">
        <v>474</v>
      </c>
      <c r="B155" s="8" t="s">
        <v>127</v>
      </c>
      <c r="C155" s="5" t="s">
        <v>128</v>
      </c>
      <c r="D155" s="6" t="s">
        <v>9</v>
      </c>
      <c r="E155" s="6">
        <v>45717</v>
      </c>
      <c r="F155" s="5" t="s">
        <v>55</v>
      </c>
      <c r="G155" s="5">
        <f ca="1">DATEDIF(E155, TODAY(), "Y")</f>
        <v>1</v>
      </c>
      <c r="H155" s="5">
        <f ca="1">INDEX(Table2[Vacation Days],MATCH(Table1[[#This Row],[Total Years]],Table2[Years],0))</f>
        <v>12</v>
      </c>
      <c r="I155" s="3"/>
    </row>
    <row r="156" spans="1:9" ht="19.2" x14ac:dyDescent="0.3">
      <c r="A156" s="22">
        <v>475</v>
      </c>
      <c r="B156" s="14" t="s">
        <v>205</v>
      </c>
      <c r="C156" s="5" t="s">
        <v>54</v>
      </c>
      <c r="D156" s="6" t="s">
        <v>139</v>
      </c>
      <c r="E156" s="6">
        <v>45740</v>
      </c>
      <c r="F156" s="5" t="s">
        <v>55</v>
      </c>
      <c r="G156" s="5">
        <f ca="1">DATEDIF(E156, TODAY(), "Y")</f>
        <v>1</v>
      </c>
      <c r="H156" s="5">
        <f ca="1">INDEX(Table2[Vacation Days],MATCH(Table1[[#This Row],[Total Years]],Table2[Years],0))</f>
        <v>12</v>
      </c>
      <c r="I156" s="3"/>
    </row>
    <row r="157" spans="1:9" ht="19.2" x14ac:dyDescent="0.3">
      <c r="A157" s="22">
        <v>478</v>
      </c>
      <c r="B157" s="8" t="s">
        <v>125</v>
      </c>
      <c r="C157" s="6" t="s">
        <v>126</v>
      </c>
      <c r="D157" s="6" t="s">
        <v>9</v>
      </c>
      <c r="E157" s="6">
        <v>45839</v>
      </c>
      <c r="F157" s="6" t="s">
        <v>13</v>
      </c>
      <c r="G157" s="5">
        <f ca="1">DATEDIF(E157, TODAY(), "Y")</f>
        <v>1</v>
      </c>
      <c r="H157" s="5">
        <f ca="1">INDEX(Table2[Vacation Days],MATCH(Table1[[#This Row],[Total Years]],Table2[Years],0))</f>
        <v>12</v>
      </c>
      <c r="I157" s="3"/>
    </row>
    <row r="158" spans="1:9" ht="19.2" x14ac:dyDescent="0.3">
      <c r="A158" s="22">
        <v>479</v>
      </c>
      <c r="B158" s="4" t="s">
        <v>206</v>
      </c>
      <c r="C158" s="5" t="s">
        <v>17</v>
      </c>
      <c r="D158" s="6" t="s">
        <v>139</v>
      </c>
      <c r="E158" s="6">
        <v>45754</v>
      </c>
      <c r="F158" s="5" t="s">
        <v>27</v>
      </c>
      <c r="G158" s="5">
        <f ca="1">DATEDIF(E158, TODAY(), "Y")</f>
        <v>1</v>
      </c>
      <c r="H158" s="5">
        <f ca="1">INDEX(Table2[Vacation Days],MATCH(Table1[[#This Row],[Total Years]],Table2[Years],0))</f>
        <v>12</v>
      </c>
      <c r="I158" s="3"/>
    </row>
    <row r="159" spans="1:9" ht="19.2" x14ac:dyDescent="0.3">
      <c r="A159" s="22">
        <v>485</v>
      </c>
      <c r="B159" s="4" t="s">
        <v>208</v>
      </c>
      <c r="C159" s="5" t="s">
        <v>209</v>
      </c>
      <c r="D159" s="6" t="s">
        <v>139</v>
      </c>
      <c r="E159" s="6">
        <v>45831</v>
      </c>
      <c r="F159" s="5" t="s">
        <v>13</v>
      </c>
      <c r="G159" s="5">
        <f ca="1">DATEDIF(E159, TODAY(), "Y")</f>
        <v>1</v>
      </c>
      <c r="H159" s="5">
        <f ca="1">INDEX(Table2[Vacation Days],MATCH(Table1[[#This Row],[Total Years]],Table2[Years],0))</f>
        <v>12</v>
      </c>
      <c r="I159" s="3"/>
    </row>
    <row r="160" spans="1:9" ht="19.2" x14ac:dyDescent="0.3">
      <c r="A160" s="22">
        <v>486</v>
      </c>
      <c r="B160" s="4" t="s">
        <v>210</v>
      </c>
      <c r="C160" s="5" t="s">
        <v>209</v>
      </c>
      <c r="D160" s="6" t="s">
        <v>139</v>
      </c>
      <c r="E160" s="6">
        <v>45831</v>
      </c>
      <c r="F160" s="5" t="s">
        <v>13</v>
      </c>
      <c r="G160" s="5">
        <f ca="1">DATEDIF(E160, TODAY(), "Y")</f>
        <v>1</v>
      </c>
      <c r="H160" s="5">
        <f ca="1">INDEX(Table2[Vacation Days],MATCH(Table1[[#This Row],[Total Years]],Table2[Years],0))</f>
        <v>12</v>
      </c>
      <c r="I160" s="3"/>
    </row>
    <row r="161" spans="1:9" ht="19.2" x14ac:dyDescent="0.3">
      <c r="A161" s="22">
        <v>491</v>
      </c>
      <c r="B161" s="8" t="s">
        <v>122</v>
      </c>
      <c r="C161" s="6" t="s">
        <v>20</v>
      </c>
      <c r="D161" s="6" t="s">
        <v>9</v>
      </c>
      <c r="E161" s="6">
        <v>45844</v>
      </c>
      <c r="F161" s="6" t="s">
        <v>15</v>
      </c>
      <c r="G161" s="5">
        <f ca="1">DATEDIF(E161, TODAY(), "Y")</f>
        <v>1</v>
      </c>
      <c r="H161" s="5">
        <f ca="1">INDEX(Table2[Vacation Days],MATCH(Table1[[#This Row],[Total Years]],Table2[Years],0))</f>
        <v>12</v>
      </c>
      <c r="I161" s="3"/>
    </row>
    <row r="162" spans="1:9" ht="19.2" x14ac:dyDescent="0.3">
      <c r="A162" s="22">
        <v>494</v>
      </c>
      <c r="B162" s="8" t="s">
        <v>120</v>
      </c>
      <c r="C162" s="5" t="s">
        <v>17</v>
      </c>
      <c r="D162" s="6" t="s">
        <v>9</v>
      </c>
      <c r="E162" s="6">
        <v>45853</v>
      </c>
      <c r="F162" s="5" t="s">
        <v>27</v>
      </c>
      <c r="G162" s="5">
        <f ca="1">DATEDIF(E162, TODAY(), "Y")</f>
        <v>1</v>
      </c>
      <c r="H162" s="5">
        <f ca="1">INDEX(Table2[Vacation Days],MATCH(Table1[[#This Row],[Total Years]],Table2[Years],0))</f>
        <v>12</v>
      </c>
      <c r="I162" s="3"/>
    </row>
    <row r="163" spans="1:9" ht="19.2" x14ac:dyDescent="0.3">
      <c r="A163" s="22">
        <v>498</v>
      </c>
      <c r="B163" s="4" t="s">
        <v>211</v>
      </c>
      <c r="C163" s="5" t="s">
        <v>155</v>
      </c>
      <c r="D163" s="6" t="s">
        <v>139</v>
      </c>
      <c r="E163" s="6">
        <v>45870</v>
      </c>
      <c r="F163" s="5" t="s">
        <v>13</v>
      </c>
      <c r="G163" s="5">
        <f ca="1">DATEDIF(E163, TODAY(), "Y")</f>
        <v>1</v>
      </c>
      <c r="H163" s="5">
        <f ca="1">INDEX(Table2[Vacation Days],MATCH(Table1[[#This Row],[Total Years]],Table2[Years],0))</f>
        <v>12</v>
      </c>
      <c r="I163" s="3"/>
    </row>
    <row r="164" spans="1:9" ht="19.2" x14ac:dyDescent="0.3">
      <c r="A164" s="22">
        <v>499</v>
      </c>
      <c r="B164" s="14" t="s">
        <v>212</v>
      </c>
      <c r="C164" s="5" t="s">
        <v>17</v>
      </c>
      <c r="D164" s="6" t="s">
        <v>139</v>
      </c>
      <c r="E164" s="6">
        <v>45873</v>
      </c>
      <c r="F164" s="5" t="s">
        <v>27</v>
      </c>
      <c r="G164" s="5">
        <f ca="1">DATEDIF(E164, TODAY(), "Y")</f>
        <v>1</v>
      </c>
      <c r="H164" s="5">
        <f ca="1">INDEX(Table2[Vacation Days],MATCH(Table1[[#This Row],[Total Years]],Table2[Years],0))</f>
        <v>12</v>
      </c>
      <c r="I164" s="3"/>
    </row>
    <row r="165" spans="1:9" ht="19.2" x14ac:dyDescent="0.3">
      <c r="A165" s="22">
        <v>502</v>
      </c>
      <c r="B165" s="8" t="s">
        <v>121</v>
      </c>
      <c r="C165" s="5" t="s">
        <v>17</v>
      </c>
      <c r="D165" s="6" t="s">
        <v>34</v>
      </c>
      <c r="E165" s="6">
        <v>45901</v>
      </c>
      <c r="F165" s="5" t="s">
        <v>27</v>
      </c>
      <c r="G165" s="5">
        <f ca="1">DATEDIF(E165, TODAY(), "Y")</f>
        <v>0</v>
      </c>
      <c r="H165" s="5">
        <f ca="1">INDEX(Table2[Vacation Days],MATCH(Table1[[#This Row],[Total Years]],Table2[Years],0))</f>
        <v>12</v>
      </c>
      <c r="I165" s="3"/>
    </row>
    <row r="166" spans="1:9" ht="19.2" x14ac:dyDescent="0.3">
      <c r="A166" s="22">
        <v>505</v>
      </c>
      <c r="B166" s="8" t="s">
        <v>123</v>
      </c>
      <c r="C166" s="6" t="s">
        <v>124</v>
      </c>
      <c r="D166" s="6" t="s">
        <v>9</v>
      </c>
      <c r="E166" s="6">
        <v>45936</v>
      </c>
      <c r="F166" s="6" t="s">
        <v>13</v>
      </c>
      <c r="G166" s="5">
        <f ca="1">DATEDIF(E166, TODAY(), "Y")</f>
        <v>0</v>
      </c>
      <c r="H166" s="5">
        <f ca="1">INDEX(Table2[Vacation Days],MATCH(Table1[[#This Row],[Total Years]],Table2[Years],0))</f>
        <v>12</v>
      </c>
      <c r="I166" s="3"/>
    </row>
    <row r="167" spans="1:9" ht="19.2" x14ac:dyDescent="0.3">
      <c r="A167" s="22">
        <v>517</v>
      </c>
      <c r="B167" s="4" t="s">
        <v>213</v>
      </c>
      <c r="C167" s="5" t="s">
        <v>41</v>
      </c>
      <c r="D167" s="6" t="s">
        <v>139</v>
      </c>
      <c r="E167" s="6">
        <v>46023</v>
      </c>
      <c r="F167" s="5" t="s">
        <v>10</v>
      </c>
      <c r="G167" s="5">
        <f ca="1">DATEDIF(E167, TODAY(), "Y")</f>
        <v>0</v>
      </c>
      <c r="H167" s="5">
        <f ca="1">INDEX(Table2[Vacation Days],MATCH(Table1[[#This Row],[Total Years]],Table2[Years],0))</f>
        <v>12</v>
      </c>
      <c r="I167" s="3"/>
    </row>
    <row r="168" spans="1:9" ht="19.2" x14ac:dyDescent="0.3">
      <c r="A168" s="22">
        <v>522</v>
      </c>
      <c r="B168" s="8" t="s">
        <v>133</v>
      </c>
      <c r="C168" s="5" t="s">
        <v>41</v>
      </c>
      <c r="D168" s="6" t="s">
        <v>34</v>
      </c>
      <c r="E168" s="6">
        <v>45992</v>
      </c>
      <c r="F168" s="5" t="s">
        <v>10</v>
      </c>
      <c r="G168" s="5">
        <f ca="1">DATEDIF(E168, TODAY(), "Y")</f>
        <v>0</v>
      </c>
      <c r="H168" s="5">
        <f ca="1">INDEX(Table2[Vacation Days],MATCH(Table1[[#This Row],[Total Years]],Table2[Years],0))</f>
        <v>12</v>
      </c>
      <c r="I168" s="3"/>
    </row>
    <row r="169" spans="1:9" ht="19.2" x14ac:dyDescent="0.3">
      <c r="A169" s="22">
        <v>523</v>
      </c>
      <c r="B169" s="8" t="s">
        <v>134</v>
      </c>
      <c r="C169" s="5" t="s">
        <v>41</v>
      </c>
      <c r="D169" s="6" t="s">
        <v>34</v>
      </c>
      <c r="E169" s="6">
        <v>45992</v>
      </c>
      <c r="F169" s="5" t="s">
        <v>10</v>
      </c>
      <c r="G169" s="5">
        <f ca="1">DATEDIF(E169, TODAY(), "Y")</f>
        <v>0</v>
      </c>
      <c r="H169" s="5">
        <f ca="1">INDEX(Table2[Vacation Days],MATCH(Table1[[#This Row],[Total Years]],Table2[Years],0))</f>
        <v>12</v>
      </c>
      <c r="I169" s="3"/>
    </row>
    <row r="170" spans="1:9" ht="19.2" x14ac:dyDescent="0.3">
      <c r="A170" s="22">
        <v>524</v>
      </c>
      <c r="B170" s="8" t="s">
        <v>129</v>
      </c>
      <c r="C170" s="5" t="s">
        <v>130</v>
      </c>
      <c r="D170" s="6" t="s">
        <v>9</v>
      </c>
      <c r="E170" s="6">
        <v>46006</v>
      </c>
      <c r="F170" s="5" t="s">
        <v>55</v>
      </c>
      <c r="G170" s="5">
        <f ca="1">DATEDIF(E170, TODAY(), "Y")</f>
        <v>0</v>
      </c>
      <c r="H170" s="5">
        <f ca="1">INDEX(Table2[Vacation Days],MATCH(Table1[[#This Row],[Total Years]],Table2[Years],0))</f>
        <v>12</v>
      </c>
      <c r="I170" s="3"/>
    </row>
    <row r="171" spans="1:9" ht="19.2" x14ac:dyDescent="0.3">
      <c r="A171" s="22">
        <v>525</v>
      </c>
      <c r="B171" s="8" t="s">
        <v>131</v>
      </c>
      <c r="C171" s="5" t="s">
        <v>41</v>
      </c>
      <c r="D171" s="6" t="s">
        <v>9</v>
      </c>
      <c r="E171" s="6">
        <v>46054</v>
      </c>
      <c r="F171" s="6" t="s">
        <v>10</v>
      </c>
      <c r="G171" s="5">
        <f ca="1">DATEDIF(E171, TODAY(), "Y")</f>
        <v>0</v>
      </c>
      <c r="H171" s="5">
        <f ca="1">INDEX(Table2[Vacation Days],MATCH(Table1[[#This Row],[Total Years]],Table2[Years],0))</f>
        <v>12</v>
      </c>
      <c r="I171" s="3"/>
    </row>
    <row r="172" spans="1:9" ht="19.2" x14ac:dyDescent="0.3">
      <c r="A172" s="22">
        <v>528</v>
      </c>
      <c r="B172" s="14" t="s">
        <v>214</v>
      </c>
      <c r="C172" s="5" t="s">
        <v>151</v>
      </c>
      <c r="D172" s="6" t="s">
        <v>139</v>
      </c>
      <c r="E172" s="6">
        <v>46084</v>
      </c>
      <c r="F172" s="5" t="s">
        <v>13</v>
      </c>
      <c r="G172" s="5">
        <f ca="1">DATEDIF(E172, TODAY(), "Y")</f>
        <v>0</v>
      </c>
      <c r="H172" s="5">
        <f ca="1">INDEX(Table2[Vacation Days],MATCH(Table1[[#This Row],[Total Years]],Table2[Years],0))</f>
        <v>12</v>
      </c>
      <c r="I172" s="3"/>
    </row>
    <row r="173" spans="1:9" ht="19.2" x14ac:dyDescent="0.3">
      <c r="A173" s="22">
        <v>529</v>
      </c>
      <c r="B173" s="8" t="s">
        <v>136</v>
      </c>
      <c r="C173" s="5" t="s">
        <v>17</v>
      </c>
      <c r="D173" s="6" t="s">
        <v>83</v>
      </c>
      <c r="E173" s="6">
        <v>46085</v>
      </c>
      <c r="F173" s="5" t="s">
        <v>27</v>
      </c>
      <c r="G173" s="5">
        <f ca="1">DATEDIF(E173, TODAY(), "Y")</f>
        <v>0</v>
      </c>
      <c r="H173" s="5">
        <f ca="1">INDEX(Table2[Vacation Days],MATCH(Table1[[#This Row],[Total Years]],Table2[Years],0))</f>
        <v>12</v>
      </c>
      <c r="I173" s="3"/>
    </row>
    <row r="174" spans="1:9" ht="19.2" x14ac:dyDescent="0.3">
      <c r="A174" s="22">
        <v>530</v>
      </c>
      <c r="B174" s="14" t="s">
        <v>255</v>
      </c>
      <c r="C174" s="5" t="s">
        <v>41</v>
      </c>
      <c r="D174" s="6" t="s">
        <v>81</v>
      </c>
      <c r="E174" s="6">
        <v>46023</v>
      </c>
      <c r="F174" s="5" t="s">
        <v>10</v>
      </c>
      <c r="G174" s="5">
        <f ca="1">DATEDIF(E174, TODAY(), "Y")</f>
        <v>0</v>
      </c>
      <c r="H174" s="5">
        <f ca="1">INDEX(Table2[Vacation Days],MATCH(Table1[[#This Row],[Total Years]],Table2[Years],0))</f>
        <v>12</v>
      </c>
      <c r="I174" s="3"/>
    </row>
    <row r="175" spans="1:9" ht="19.2" x14ac:dyDescent="0.3">
      <c r="A175" s="22">
        <v>532</v>
      </c>
      <c r="B175" s="4" t="s">
        <v>264</v>
      </c>
      <c r="C175" s="5" t="s">
        <v>191</v>
      </c>
      <c r="D175" s="6" t="s">
        <v>9</v>
      </c>
      <c r="E175" s="6">
        <v>46054</v>
      </c>
      <c r="F175" s="9" t="s">
        <v>15</v>
      </c>
      <c r="G175" s="5">
        <f ca="1">DATEDIF(E175, TODAY(), "Y")</f>
        <v>0</v>
      </c>
      <c r="H175" s="5">
        <f ca="1">INDEX(Table2[Vacation Days],MATCH(Table1[[#This Row],[Total Years]],Table2[Years],0))</f>
        <v>12</v>
      </c>
      <c r="I175" s="3"/>
    </row>
    <row r="176" spans="1:9" ht="19.2" x14ac:dyDescent="0.3">
      <c r="A176" s="22">
        <v>537</v>
      </c>
      <c r="B176" s="4" t="s">
        <v>228</v>
      </c>
      <c r="C176" s="5" t="s">
        <v>17</v>
      </c>
      <c r="D176" s="6" t="s">
        <v>225</v>
      </c>
      <c r="E176" s="6">
        <v>46090</v>
      </c>
      <c r="F176" s="5" t="s">
        <v>27</v>
      </c>
      <c r="G176" s="5">
        <f ca="1">DATEDIF(E176, TODAY(), "Y")</f>
        <v>0</v>
      </c>
      <c r="H176" s="5">
        <f ca="1">INDEX(Table2[Vacation Days],MATCH(Table1[[#This Row],[Total Years]],Table2[Years],0))</f>
        <v>12</v>
      </c>
      <c r="I176" s="3"/>
    </row>
    <row r="177" spans="1:9" ht="19.2" x14ac:dyDescent="0.3">
      <c r="A177" s="22">
        <v>538</v>
      </c>
      <c r="B177" s="4" t="s">
        <v>218</v>
      </c>
      <c r="C177" s="5" t="s">
        <v>41</v>
      </c>
      <c r="D177" s="5" t="s">
        <v>81</v>
      </c>
      <c r="E177" s="6">
        <v>46097</v>
      </c>
      <c r="F177" s="5" t="s">
        <v>10</v>
      </c>
      <c r="G177" s="5">
        <f ca="1">DATEDIF(E177, TODAY(), "Y")</f>
        <v>0</v>
      </c>
      <c r="H177" s="5">
        <f ca="1">INDEX(Table2[Vacation Days],MATCH(Table1[[#This Row],[Total Years]],Table2[Years],0))</f>
        <v>12</v>
      </c>
      <c r="I177" s="3"/>
    </row>
    <row r="178" spans="1:9" ht="19.2" x14ac:dyDescent="0.3">
      <c r="A178" s="22">
        <v>539</v>
      </c>
      <c r="B178" s="4" t="s">
        <v>220</v>
      </c>
      <c r="C178" s="5" t="s">
        <v>57</v>
      </c>
      <c r="D178" s="6" t="s">
        <v>34</v>
      </c>
      <c r="E178" s="6">
        <v>46104</v>
      </c>
      <c r="F178" s="5" t="s">
        <v>13</v>
      </c>
      <c r="G178" s="5">
        <f ca="1">DATEDIF(E178, TODAY(), "Y")</f>
        <v>0</v>
      </c>
      <c r="H178" s="5">
        <f ca="1">INDEX(Table2[Vacation Days],MATCH(Table1[[#This Row],[Total Years]],Table2[Years],0))</f>
        <v>12</v>
      </c>
      <c r="I178" s="3"/>
    </row>
    <row r="179" spans="1:9" ht="19.2" x14ac:dyDescent="0.3">
      <c r="A179" s="22">
        <v>540</v>
      </c>
      <c r="B179" s="16" t="s">
        <v>237</v>
      </c>
      <c r="C179" s="17" t="s">
        <v>37</v>
      </c>
      <c r="D179" s="18" t="s">
        <v>225</v>
      </c>
      <c r="E179" s="18">
        <v>46160</v>
      </c>
      <c r="F179" s="17" t="s">
        <v>13</v>
      </c>
      <c r="G179" s="17">
        <f ca="1">DATEDIF(E179, TODAY(), "Y")</f>
        <v>0</v>
      </c>
      <c r="H179" s="17">
        <f ca="1">INDEX(Table2[Vacation Days],MATCH(Table1[[#This Row],[Total Years]],Table2[Years],0))</f>
        <v>12</v>
      </c>
      <c r="I179" s="3"/>
    </row>
    <row r="180" spans="1:9" ht="19.2" x14ac:dyDescent="0.3">
      <c r="A180" s="22">
        <v>542</v>
      </c>
      <c r="B180" s="4" t="s">
        <v>260</v>
      </c>
      <c r="C180" s="5" t="s">
        <v>261</v>
      </c>
      <c r="D180" s="6" t="s">
        <v>9</v>
      </c>
      <c r="E180" s="6">
        <v>46174</v>
      </c>
      <c r="F180" s="17" t="s">
        <v>13</v>
      </c>
      <c r="G180" s="5">
        <f ca="1">DATEDIF(E180, TODAY(), "Y")</f>
        <v>0</v>
      </c>
      <c r="H180" s="5">
        <f ca="1">INDEX(Table2[Vacation Days],MATCH(Table1[[#This Row],[Total Years]],Table2[Years],0))</f>
        <v>12</v>
      </c>
      <c r="I180" s="3"/>
    </row>
    <row r="181" spans="1:9" ht="19.2" x14ac:dyDescent="0.3">
      <c r="A181" s="22">
        <v>543</v>
      </c>
      <c r="B181" s="14" t="s">
        <v>262</v>
      </c>
      <c r="C181" s="5" t="s">
        <v>263</v>
      </c>
      <c r="D181" s="6" t="s">
        <v>9</v>
      </c>
      <c r="E181" s="18">
        <v>46204</v>
      </c>
      <c r="F181" s="17" t="s">
        <v>55</v>
      </c>
      <c r="G181" s="5">
        <f ca="1">DATEDIF(E181, TODAY(), "Y")</f>
        <v>0</v>
      </c>
      <c r="H181" s="5">
        <f ca="1">INDEX(Table2[Vacation Days],MATCH(Table1[[#This Row],[Total Years]],Table2[Years],0))</f>
        <v>12</v>
      </c>
      <c r="I181" s="3"/>
    </row>
    <row r="182" spans="1:9" ht="19.2" x14ac:dyDescent="0.3">
      <c r="A182" s="22">
        <v>544</v>
      </c>
      <c r="B182" s="4" t="s">
        <v>221</v>
      </c>
      <c r="C182" s="5" t="s">
        <v>41</v>
      </c>
      <c r="D182" s="6" t="s">
        <v>139</v>
      </c>
      <c r="E182" s="6">
        <v>46183</v>
      </c>
      <c r="F182" s="17" t="s">
        <v>10</v>
      </c>
      <c r="G182" s="5">
        <f ca="1">DATEDIF(E182, TODAY(), "Y")</f>
        <v>0</v>
      </c>
      <c r="H182" s="5">
        <f ca="1">INDEX(Table2[Vacation Days],MATCH(Table1[[#This Row],[Total Years]],Table2[Years],0))</f>
        <v>12</v>
      </c>
      <c r="I182" s="3"/>
    </row>
    <row r="183" spans="1:9" ht="19.2" x14ac:dyDescent="0.3">
      <c r="A183" s="22">
        <v>549</v>
      </c>
      <c r="B183" s="16" t="s">
        <v>222</v>
      </c>
      <c r="C183" s="5" t="s">
        <v>41</v>
      </c>
      <c r="D183" s="18" t="s">
        <v>139</v>
      </c>
      <c r="E183" s="6">
        <v>46223</v>
      </c>
      <c r="F183" s="17" t="s">
        <v>10</v>
      </c>
      <c r="G183" s="17">
        <f ca="1">DATEDIF(E183, TODAY(), "Y")</f>
        <v>0</v>
      </c>
      <c r="H183" s="17">
        <f ca="1">INDEX(Table2[Vacation Days],MATCH(Table1[[#This Row],[Total Years]],Table2[Years],0))</f>
        <v>12</v>
      </c>
      <c r="I183" s="3"/>
    </row>
    <row r="184" spans="1:9" ht="19.2" x14ac:dyDescent="0.3">
      <c r="A184" s="22">
        <v>550</v>
      </c>
      <c r="B184" s="4" t="s">
        <v>252</v>
      </c>
      <c r="C184" s="5" t="s">
        <v>41</v>
      </c>
      <c r="D184" s="6" t="s">
        <v>34</v>
      </c>
      <c r="E184" s="6">
        <v>46214</v>
      </c>
      <c r="F184" s="17" t="s">
        <v>10</v>
      </c>
      <c r="G184" s="5">
        <f ca="1">DATEDIF(E184, TODAY(), "Y")</f>
        <v>0</v>
      </c>
      <c r="H184" s="5">
        <f ca="1">INDEX(Table2[Vacation Days],MATCH(Table1[[#This Row],[Total Years]],Table2[Years],0))</f>
        <v>12</v>
      </c>
      <c r="I184" s="3"/>
    </row>
    <row r="185" spans="1:9" ht="19.2" x14ac:dyDescent="0.3">
      <c r="A185" s="22">
        <v>551</v>
      </c>
      <c r="B185" s="14" t="s">
        <v>253</v>
      </c>
      <c r="C185" s="5" t="s">
        <v>41</v>
      </c>
      <c r="D185" s="6" t="s">
        <v>34</v>
      </c>
      <c r="E185" s="6">
        <v>46214</v>
      </c>
      <c r="F185" s="5" t="s">
        <v>10</v>
      </c>
      <c r="G185" s="5">
        <f ca="1">DATEDIF(E185, TODAY(), "Y")</f>
        <v>0</v>
      </c>
      <c r="H185" s="5">
        <f ca="1">INDEX(Table2[Vacation Days],MATCH(Table1[[#This Row],[Total Years]],Table2[Years],0))</f>
        <v>12</v>
      </c>
      <c r="I185" s="3"/>
    </row>
    <row r="186" spans="1:9" ht="19.2" x14ac:dyDescent="0.3">
      <c r="A186" s="23">
        <v>552</v>
      </c>
      <c r="B186" s="4" t="s">
        <v>254</v>
      </c>
      <c r="C186" s="17" t="s">
        <v>41</v>
      </c>
      <c r="D186" s="18" t="s">
        <v>34</v>
      </c>
      <c r="E186" s="18">
        <v>46214</v>
      </c>
      <c r="F186" s="17" t="s">
        <v>10</v>
      </c>
      <c r="G186" s="17">
        <f ca="1">DATEDIF(E186, TODAY(), "Y")</f>
        <v>0</v>
      </c>
      <c r="H186" s="17">
        <f ca="1">INDEX(Table2[Vacation Days],MATCH(Table1[[#This Row],[Total Years]],Table2[Years],0))</f>
        <v>12</v>
      </c>
      <c r="I18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B515-5484-41C4-98BB-05ED3D509A0A}">
  <dimension ref="A1:B12"/>
  <sheetViews>
    <sheetView workbookViewId="0">
      <selection activeCell="A8" sqref="A8:B8"/>
    </sheetView>
  </sheetViews>
  <sheetFormatPr defaultRowHeight="14.4" x14ac:dyDescent="0.3"/>
  <cols>
    <col min="2" max="2" width="14.21875" customWidth="1"/>
  </cols>
  <sheetData>
    <row r="1" spans="1:2" x14ac:dyDescent="0.3">
      <c r="A1" t="s">
        <v>215</v>
      </c>
      <c r="B1" t="s">
        <v>216</v>
      </c>
    </row>
    <row r="2" spans="1:2" x14ac:dyDescent="0.3">
      <c r="A2">
        <v>0</v>
      </c>
      <c r="B2">
        <v>12</v>
      </c>
    </row>
    <row r="3" spans="1:2" x14ac:dyDescent="0.3">
      <c r="A3">
        <v>1</v>
      </c>
      <c r="B3">
        <v>12</v>
      </c>
    </row>
    <row r="4" spans="1:2" x14ac:dyDescent="0.3">
      <c r="A4">
        <v>2</v>
      </c>
      <c r="B4">
        <v>14</v>
      </c>
    </row>
    <row r="5" spans="1:2" x14ac:dyDescent="0.3">
      <c r="A5">
        <v>3</v>
      </c>
      <c r="B5">
        <v>18</v>
      </c>
    </row>
    <row r="6" spans="1:2" x14ac:dyDescent="0.3">
      <c r="A6">
        <v>4</v>
      </c>
      <c r="B6">
        <v>18</v>
      </c>
    </row>
    <row r="7" spans="1:2" x14ac:dyDescent="0.3">
      <c r="A7">
        <v>5</v>
      </c>
      <c r="B7">
        <v>20</v>
      </c>
    </row>
    <row r="8" spans="1:2" x14ac:dyDescent="0.3">
      <c r="A8">
        <v>6</v>
      </c>
      <c r="B8">
        <v>22</v>
      </c>
    </row>
    <row r="9" spans="1:2" x14ac:dyDescent="0.3">
      <c r="A9">
        <v>7</v>
      </c>
      <c r="B9">
        <v>24</v>
      </c>
    </row>
    <row r="10" spans="1:2" x14ac:dyDescent="0.3">
      <c r="A10">
        <v>8</v>
      </c>
      <c r="B10">
        <v>26</v>
      </c>
    </row>
    <row r="11" spans="1:2" x14ac:dyDescent="0.3">
      <c r="A11">
        <v>9</v>
      </c>
      <c r="B11">
        <v>28</v>
      </c>
    </row>
    <row r="12" spans="1:2" x14ac:dyDescent="0.3">
      <c r="A12">
        <v>10</v>
      </c>
      <c r="B12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HC-HR</dc:creator>
  <cp:lastModifiedBy>hope test</cp:lastModifiedBy>
  <dcterms:created xsi:type="dcterms:W3CDTF">2015-06-05T18:17:20Z</dcterms:created>
  <dcterms:modified xsi:type="dcterms:W3CDTF">2026-08-24T09:52:35Z</dcterms:modified>
</cp:coreProperties>
</file>